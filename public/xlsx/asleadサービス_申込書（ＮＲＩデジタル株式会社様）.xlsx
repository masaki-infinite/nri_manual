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V:\Users\adc02264\Desktop\GＮＲＩデジタル（萩平）\"/>
    </mc:Choice>
  </mc:AlternateContent>
  <xr:revisionPtr revIDLastSave="0" documentId="13_ncr:1_{4B56B263-4184-4465-8652-6CC22F02FB7C}" xr6:coauthVersionLast="47" xr6:coauthVersionMax="47" xr10:uidLastSave="{00000000-0000-0000-0000-000000000000}"/>
  <bookViews>
    <workbookView xWindow="-108" yWindow="-108" windowWidth="23256" windowHeight="13896" tabRatio="153" firstSheet="1" activeTab="1" xr2:uid="{00000000-000D-0000-FFFF-FFFF00000000}"/>
  </bookViews>
  <sheets>
    <sheet name="改定履歴" sheetId="76" r:id="rId1"/>
    <sheet name="申込書" sheetId="75" r:id="rId2"/>
  </sheets>
  <definedNames>
    <definedName name="_xlnm._FilterDatabase" localSheetId="1" hidden="1">申込書!$CA$1:$CA$196</definedName>
    <definedName name="_xlnm.Print_Area" localSheetId="1">申込書!$A$1:$AK$173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58" i="75" l="1"/>
  <c r="B156" i="75"/>
  <c r="B155" i="75"/>
  <c r="B157" i="75"/>
  <c r="BY163" i="75"/>
  <c r="BY162" i="75"/>
  <c r="BY161" i="75"/>
  <c r="BY160" i="75"/>
  <c r="BY159" i="75"/>
  <c r="BY158" i="75"/>
  <c r="BY157" i="75"/>
  <c r="BY156" i="75"/>
  <c r="BY155" i="75"/>
  <c r="BY154" i="75"/>
  <c r="BY153" i="75"/>
  <c r="BY152" i="75"/>
  <c r="B147" i="75"/>
  <c r="B146" i="75"/>
  <c r="B145" i="75"/>
  <c r="B144" i="75"/>
  <c r="B143" i="75"/>
  <c r="B142" i="75"/>
  <c r="B141" i="75"/>
  <c r="B140" i="75"/>
  <c r="B139" i="75"/>
  <c r="B138" i="75"/>
  <c r="B137" i="75"/>
  <c r="B136" i="75"/>
  <c r="CI147" i="75"/>
  <c r="BY147" i="75"/>
  <c r="CI148" i="75"/>
  <c r="BY148" i="75"/>
  <c r="CI146" i="75"/>
  <c r="BY146" i="75"/>
  <c r="CI145" i="75"/>
  <c r="BY145" i="75"/>
  <c r="CI144" i="75"/>
  <c r="BY144" i="75"/>
  <c r="CI143" i="75"/>
  <c r="BY143" i="75"/>
  <c r="CI142" i="75"/>
  <c r="BY142" i="75"/>
  <c r="CI141" i="75"/>
  <c r="BY141" i="75"/>
  <c r="CI140" i="75"/>
  <c r="BY140" i="75"/>
  <c r="CI139" i="75"/>
  <c r="BY139" i="75"/>
  <c r="CI138" i="75"/>
  <c r="BY138" i="75"/>
  <c r="CI137" i="75"/>
  <c r="BY137" i="75"/>
  <c r="CI136" i="75"/>
  <c r="BY136" i="75"/>
  <c r="B163" i="75"/>
  <c r="B162" i="75"/>
  <c r="B148" i="75" l="1"/>
  <c r="B161" i="75" l="1"/>
  <c r="CI163" i="75" l="1"/>
  <c r="CI162" i="75"/>
  <c r="CI161" i="75"/>
  <c r="B154" i="75"/>
  <c r="BY173" i="75"/>
  <c r="BY172" i="75"/>
  <c r="BY171" i="75"/>
  <c r="BY170" i="75"/>
  <c r="BY169" i="75"/>
  <c r="BY168" i="75"/>
  <c r="BY167" i="75"/>
  <c r="BY166" i="75"/>
  <c r="BY165" i="75"/>
  <c r="BY164" i="75"/>
  <c r="BY151" i="75"/>
  <c r="BY150" i="75"/>
  <c r="BY149" i="75"/>
  <c r="BY135" i="75"/>
  <c r="BY134" i="75"/>
  <c r="BY133" i="75"/>
  <c r="BY132" i="75"/>
  <c r="BY131" i="75"/>
  <c r="BY130" i="75"/>
  <c r="BY129" i="75"/>
  <c r="BY127" i="75"/>
  <c r="BY126" i="75"/>
  <c r="BY125" i="75"/>
  <c r="BY124" i="75"/>
  <c r="BY123" i="75"/>
  <c r="BY122" i="75"/>
  <c r="BY121" i="75"/>
  <c r="BY120" i="75"/>
  <c r="BY118" i="75"/>
  <c r="BY117" i="75"/>
  <c r="BY116" i="75"/>
  <c r="BY115" i="75"/>
  <c r="BY114" i="75"/>
  <c r="BY113" i="75"/>
  <c r="BY112" i="75"/>
  <c r="BY111" i="75"/>
  <c r="BY109" i="75"/>
  <c r="BY107" i="75"/>
  <c r="BY106" i="75"/>
  <c r="BY105" i="75"/>
  <c r="BY104" i="75"/>
  <c r="BY103" i="75"/>
  <c r="BY102" i="75"/>
  <c r="BY101" i="75"/>
  <c r="BY100" i="75"/>
  <c r="BY98" i="75"/>
  <c r="BY97" i="75"/>
  <c r="BY95" i="75"/>
  <c r="BY94" i="75"/>
  <c r="BY93" i="75"/>
  <c r="BY92" i="75"/>
  <c r="BY91" i="75"/>
  <c r="BY90" i="75"/>
  <c r="BY89" i="75"/>
  <c r="BY88" i="75"/>
  <c r="BY87" i="75"/>
  <c r="BY86" i="75"/>
  <c r="BY85" i="75"/>
  <c r="BY84" i="75"/>
  <c r="BY83" i="75"/>
  <c r="BY82" i="75"/>
  <c r="BY81" i="75"/>
  <c r="BY80" i="75"/>
  <c r="BY79" i="75"/>
  <c r="BY78" i="75"/>
  <c r="BY77" i="75"/>
  <c r="BY76" i="75"/>
  <c r="BY75" i="75"/>
  <c r="BY74" i="75"/>
  <c r="BY73" i="75"/>
  <c r="BY72" i="75"/>
  <c r="BY71" i="75"/>
  <c r="BY70" i="75"/>
  <c r="BY69" i="75"/>
  <c r="BY68" i="75"/>
  <c r="BY67" i="75"/>
  <c r="BY66" i="75"/>
  <c r="BY65" i="75"/>
  <c r="BY64" i="75"/>
  <c r="BY63" i="75"/>
  <c r="BY62" i="75"/>
  <c r="BY61" i="75"/>
  <c r="BY60" i="75"/>
  <c r="BY59" i="75"/>
  <c r="BY58" i="75"/>
  <c r="BY57" i="75"/>
  <c r="BY56" i="75"/>
  <c r="BY55" i="75"/>
  <c r="BY54" i="75"/>
  <c r="BY53" i="75"/>
  <c r="BY52" i="75"/>
  <c r="BY51" i="75"/>
  <c r="BY50" i="75"/>
  <c r="BY49" i="75"/>
  <c r="BY48" i="75"/>
  <c r="BY47" i="75"/>
  <c r="BY46" i="75"/>
  <c r="BY45" i="75"/>
  <c r="BY44" i="75"/>
  <c r="BY43" i="75"/>
  <c r="BY42" i="75"/>
  <c r="BY41" i="75"/>
  <c r="BY40" i="75"/>
  <c r="BY39" i="75"/>
  <c r="BY38" i="75"/>
  <c r="BY37" i="75"/>
  <c r="BY36" i="75"/>
  <c r="BY35" i="75"/>
  <c r="BY34" i="75"/>
  <c r="BY33" i="75"/>
  <c r="BY32" i="75"/>
  <c r="BY31" i="75"/>
  <c r="BY30" i="75"/>
  <c r="BY29" i="75"/>
  <c r="BY28" i="75"/>
  <c r="BY27" i="75"/>
  <c r="BY26" i="75"/>
  <c r="BY25" i="75"/>
  <c r="BY24" i="75"/>
  <c r="BY23" i="75"/>
  <c r="BY22" i="75"/>
  <c r="BY21" i="75"/>
  <c r="BY20" i="75"/>
  <c r="BY19" i="75"/>
  <c r="BY18" i="75"/>
  <c r="BY17" i="75"/>
  <c r="BY16" i="75"/>
  <c r="BY15" i="75"/>
  <c r="BY14" i="75"/>
  <c r="BY12" i="75"/>
  <c r="BY11" i="75"/>
  <c r="BY9" i="75"/>
  <c r="BY8" i="75"/>
  <c r="BY7" i="75"/>
  <c r="BY6" i="75"/>
  <c r="BY5" i="75"/>
  <c r="BY4" i="75"/>
  <c r="BY3" i="75"/>
  <c r="BY2" i="75"/>
  <c r="BY1" i="75"/>
  <c r="BY128" i="75"/>
  <c r="BY119" i="75"/>
  <c r="BY110" i="75"/>
  <c r="BY108" i="75"/>
  <c r="BY99" i="75"/>
  <c r="BY96" i="75"/>
  <c r="BY13" i="75"/>
  <c r="BY10" i="75"/>
  <c r="CI160" i="75" l="1"/>
  <c r="B160" i="75" l="1"/>
  <c r="B159" i="75"/>
  <c r="CI196" i="75" l="1"/>
  <c r="CI195" i="75"/>
  <c r="CI194" i="75"/>
  <c r="CI193" i="75"/>
  <c r="CI192" i="75"/>
  <c r="CI191" i="75"/>
  <c r="CI190" i="75"/>
  <c r="CI189" i="75"/>
  <c r="CI188" i="75"/>
  <c r="CI187" i="75"/>
  <c r="CI186" i="75"/>
  <c r="CI185" i="75"/>
  <c r="CI184" i="75"/>
  <c r="CI183" i="75"/>
  <c r="CI182" i="75"/>
  <c r="CI181" i="75"/>
  <c r="CI180" i="75"/>
  <c r="CI179" i="75"/>
  <c r="CI178" i="75"/>
  <c r="CI177" i="75"/>
  <c r="CI176" i="75"/>
  <c r="CI175" i="75"/>
  <c r="CI174" i="75"/>
  <c r="CI173" i="75"/>
  <c r="CI172" i="75"/>
  <c r="CI171" i="75"/>
  <c r="CI170" i="75"/>
  <c r="CI169" i="75"/>
  <c r="CI168" i="75"/>
  <c r="CI167" i="75"/>
  <c r="CI166" i="75"/>
  <c r="CI165" i="75"/>
  <c r="CI164" i="75"/>
  <c r="CI159" i="75"/>
  <c r="CI153" i="75"/>
  <c r="CI152" i="75"/>
  <c r="CI151" i="75"/>
  <c r="CI150" i="75"/>
  <c r="CI149" i="75"/>
  <c r="CI135" i="75"/>
  <c r="CI134" i="75"/>
  <c r="CI133" i="75"/>
  <c r="CI132" i="75"/>
  <c r="CI131" i="75"/>
  <c r="CI130" i="75"/>
  <c r="CI129" i="75"/>
  <c r="CI128" i="75"/>
  <c r="CI127" i="75"/>
  <c r="CI126" i="75"/>
  <c r="CI125" i="75"/>
  <c r="CI124" i="75"/>
  <c r="CI123" i="75"/>
  <c r="CI122" i="75"/>
  <c r="CI121" i="75"/>
  <c r="CI120" i="75"/>
  <c r="CI119" i="75"/>
  <c r="CI118" i="75"/>
  <c r="CI117" i="75"/>
  <c r="CI116" i="75"/>
  <c r="CI115" i="75"/>
  <c r="CI114" i="75"/>
  <c r="CI113" i="75"/>
  <c r="CI112" i="75"/>
  <c r="CI111" i="75"/>
  <c r="CI110" i="75"/>
  <c r="CI109" i="75"/>
  <c r="CI108" i="75"/>
  <c r="CI107" i="75"/>
  <c r="CI106" i="75"/>
  <c r="CI105" i="75"/>
  <c r="CI104" i="75"/>
  <c r="CI103" i="75"/>
  <c r="CI102" i="75"/>
  <c r="CI101" i="75"/>
  <c r="CI100" i="75"/>
  <c r="CI99" i="75"/>
  <c r="CI98" i="75"/>
  <c r="CI97" i="75"/>
  <c r="CI96" i="75"/>
  <c r="CI95" i="75"/>
  <c r="CI47" i="75"/>
  <c r="CI46" i="75"/>
  <c r="CI45" i="75"/>
  <c r="CI44" i="75"/>
  <c r="CI43" i="75"/>
  <c r="CI42" i="75"/>
  <c r="CI41" i="75"/>
  <c r="CI40" i="75"/>
  <c r="CI39" i="75"/>
  <c r="CI38" i="75"/>
  <c r="CI37" i="75"/>
  <c r="CI36" i="75"/>
  <c r="CI35" i="75"/>
  <c r="CI34" i="75"/>
  <c r="CI33" i="75"/>
  <c r="CI32" i="75"/>
  <c r="CI31" i="75"/>
  <c r="CI30" i="75"/>
  <c r="CI29" i="75"/>
  <c r="CI28" i="75"/>
  <c r="CI27" i="75"/>
  <c r="CI26" i="75"/>
  <c r="CI25" i="75"/>
  <c r="CI24" i="75"/>
  <c r="CI23" i="75"/>
  <c r="CI22" i="75"/>
  <c r="CI21" i="75"/>
  <c r="CI20" i="75"/>
  <c r="CI19" i="75"/>
  <c r="CI18" i="75"/>
  <c r="CI17" i="75"/>
  <c r="CI16" i="75"/>
  <c r="CI15" i="75"/>
  <c r="CI14" i="75"/>
  <c r="CI13" i="75"/>
  <c r="CI12" i="75"/>
  <c r="CI11" i="75"/>
  <c r="CI10" i="75"/>
  <c r="CI9" i="75"/>
  <c r="CI8" i="75"/>
  <c r="CI7" i="75"/>
  <c r="CI6" i="75"/>
  <c r="CI5" i="75"/>
  <c r="CI4" i="75"/>
  <c r="CI3" i="75"/>
  <c r="CI2" i="75"/>
  <c r="CI1" i="75"/>
  <c r="B153" i="75" l="1"/>
  <c r="B164" i="75" l="1"/>
  <c r="B135" i="75"/>
  <c r="Q107" i="75"/>
  <c r="B106" i="75"/>
  <c r="Z97" i="75"/>
  <c r="H97" i="75"/>
  <c r="A20" i="75"/>
  <c r="A12" i="75"/>
  <c r="A9" i="75"/>
  <c r="A7" i="75"/>
  <c r="AF2" i="75"/>
  <c r="AF1" i="75" l="1"/>
  <c r="AV1" i="75" s="1"/>
  <c r="AV2" i="75"/>
  <c r="B129" i="75"/>
  <c r="B128" i="75"/>
  <c r="B121" i="75"/>
  <c r="B120" i="75"/>
  <c r="B119" i="75"/>
  <c r="B112" i="75"/>
  <c r="B111" i="75"/>
  <c r="B110" i="75"/>
  <c r="B103" i="75"/>
  <c r="B102" i="75"/>
  <c r="B101" i="75"/>
  <c r="B100" i="75"/>
  <c r="B99" i="75"/>
  <c r="AE99" i="75" s="1"/>
  <c r="A4" i="75"/>
  <c r="V102" i="75" l="1"/>
  <c r="Z102" i="75"/>
  <c r="AC102" i="75"/>
  <c r="Q102" i="75"/>
  <c r="AE102" i="75"/>
  <c r="AI102" i="75"/>
  <c r="V103" i="75"/>
  <c r="Q103" i="75"/>
  <c r="Z103" i="75"/>
  <c r="AC103" i="75"/>
  <c r="AE103" i="75"/>
  <c r="AI103" i="75"/>
  <c r="V101" i="75"/>
  <c r="AC101" i="75"/>
  <c r="AE101" i="75"/>
  <c r="Z101" i="75"/>
  <c r="Q101" i="75"/>
  <c r="V100" i="75"/>
  <c r="AE100" i="75"/>
  <c r="Q100" i="75"/>
  <c r="AC100" i="75"/>
  <c r="Z100" i="75"/>
  <c r="AC99" i="75"/>
  <c r="Z99" i="75"/>
  <c r="Q99" i="75"/>
  <c r="AC128" i="75"/>
  <c r="V128" i="75"/>
  <c r="AI128" i="75"/>
  <c r="Z128" i="75"/>
  <c r="Q128" i="75"/>
  <c r="Q119" i="75"/>
  <c r="Z119" i="75"/>
  <c r="V119" i="75"/>
  <c r="AI119" i="75"/>
  <c r="Z110" i="75"/>
  <c r="AI110" i="75"/>
  <c r="Q110" i="75"/>
  <c r="AI129" i="75"/>
  <c r="AC129" i="75"/>
  <c r="Z129" i="75"/>
  <c r="V129" i="75"/>
  <c r="Q129" i="75"/>
  <c r="Q121" i="75"/>
  <c r="V121" i="75"/>
  <c r="Z121" i="75"/>
  <c r="AI121" i="75"/>
  <c r="Q120" i="75"/>
  <c r="Z120" i="75"/>
  <c r="V120" i="75"/>
  <c r="AI120" i="75"/>
  <c r="AI112" i="75"/>
  <c r="Z112" i="75"/>
  <c r="Q112" i="75"/>
  <c r="Z111" i="75"/>
  <c r="AI111" i="75"/>
  <c r="Q111" i="75"/>
  <c r="B125" i="75"/>
  <c r="AI125" i="75" s="1"/>
  <c r="B124" i="75"/>
  <c r="AI124" i="75" s="1"/>
  <c r="B123" i="75"/>
  <c r="AE123" i="75" s="1"/>
  <c r="B132" i="75"/>
  <c r="Q132" i="75" s="1"/>
  <c r="B131" i="75"/>
  <c r="AI131" i="75" s="1"/>
  <c r="B116" i="75"/>
  <c r="B115" i="75"/>
  <c r="AE125" i="75" l="1"/>
  <c r="Q124" i="75"/>
  <c r="Q125" i="75"/>
  <c r="Q123" i="75"/>
  <c r="AI123" i="75"/>
  <c r="AE124" i="75"/>
  <c r="AI132" i="75"/>
  <c r="Q131" i="75"/>
  <c r="AE131" i="75"/>
  <c r="AE132" i="75"/>
  <c r="AI116" i="75"/>
  <c r="Q116" i="75"/>
  <c r="AE116" i="75"/>
  <c r="AI115" i="75"/>
  <c r="AE115" i="75"/>
  <c r="V112" i="75" l="1"/>
  <c r="V99" i="75"/>
  <c r="V111" i="75" l="1"/>
  <c r="V110" i="75"/>
  <c r="Q115" i="75" l="1"/>
  <c r="AI99" i="75"/>
  <c r="AI101" i="75" l="1"/>
  <c r="AI100" i="75"/>
  <c r="B114" i="75" l="1"/>
  <c r="AI114" i="75" l="1"/>
  <c r="Q114" i="75"/>
  <c r="AE114" i="75"/>
  <c r="B105" i="75"/>
  <c r="Q105" i="75" l="1"/>
  <c r="AE105" i="75"/>
  <c r="AI105"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細沼　慎吾(864805)生産革新ソリューション開発一部</author>
  </authors>
  <commentList>
    <comment ref="H10" authorId="0" shapeId="0" xr:uid="{0B9B1861-33D8-44E3-8F3B-1ABDD547ACD7}">
      <text>
        <r>
          <rPr>
            <sz val="9"/>
            <color indexed="81"/>
            <rFont val="ＭＳ Ｐゴシック"/>
            <family val="3"/>
            <charset val="128"/>
          </rPr>
          <t>yyyy/mm/dd 形式で入力</t>
        </r>
      </text>
    </comment>
  </commentList>
</comments>
</file>

<file path=xl/sharedStrings.xml><?xml version="1.0" encoding="utf-8"?>
<sst xmlns="http://schemas.openxmlformats.org/spreadsheetml/2006/main" count="670" uniqueCount="275">
  <si>
    <t>-</t>
    <phoneticPr fontId="14"/>
  </si>
  <si>
    <t>【NRIにおけるお客様情報の取り扱いについて】</t>
    <phoneticPr fontId="14"/>
  </si>
  <si>
    <t>印</t>
    <rPh sb="0" eb="1">
      <t>イン</t>
    </rPh>
    <phoneticPr fontId="14"/>
  </si>
  <si>
    <t>株式会社野村総合研究所　御中</t>
    <rPh sb="0" eb="2">
      <t>カブシキ</t>
    </rPh>
    <rPh sb="2" eb="4">
      <t>カイシャ</t>
    </rPh>
    <rPh sb="4" eb="6">
      <t>ノムラ</t>
    </rPh>
    <rPh sb="6" eb="8">
      <t>ソウゴウ</t>
    </rPh>
    <rPh sb="8" eb="11">
      <t>ケンキュウショ</t>
    </rPh>
    <rPh sb="12" eb="14">
      <t>オンチュウ</t>
    </rPh>
    <phoneticPr fontId="14"/>
  </si>
  <si>
    <t>　法人名</t>
    <rPh sb="1" eb="3">
      <t>ホウジン</t>
    </rPh>
    <rPh sb="3" eb="4">
      <t>メイ</t>
    </rPh>
    <phoneticPr fontId="14"/>
  </si>
  <si>
    <t>№</t>
    <phoneticPr fontId="14"/>
  </si>
  <si>
    <t>利用規約への同意</t>
    <rPh sb="0" eb="2">
      <t>リヨウ</t>
    </rPh>
    <rPh sb="2" eb="4">
      <t>キヤク</t>
    </rPh>
    <rPh sb="6" eb="8">
      <t>ドウイ</t>
    </rPh>
    <phoneticPr fontId="11"/>
  </si>
  <si>
    <t>□</t>
    <phoneticPr fontId="14"/>
  </si>
  <si>
    <t>単価（税別）</t>
    <rPh sb="0" eb="2">
      <t>タンカ</t>
    </rPh>
    <rPh sb="3" eb="5">
      <t>ゼイベツ</t>
    </rPh>
    <phoneticPr fontId="14"/>
  </si>
  <si>
    <t>金額（税別）</t>
    <rPh sb="0" eb="2">
      <t>キンガク</t>
    </rPh>
    <rPh sb="3" eb="5">
      <t>ゼイベツ</t>
    </rPh>
    <phoneticPr fontId="14"/>
  </si>
  <si>
    <t>年       月        日</t>
    <phoneticPr fontId="14"/>
  </si>
  <si>
    <t>お客様
(お申込者)</t>
    <rPh sb="1" eb="3">
      <t>キャクサマ</t>
    </rPh>
    <rPh sb="6" eb="8">
      <t>モウシコミ</t>
    </rPh>
    <rPh sb="8" eb="9">
      <t>シャ</t>
    </rPh>
    <phoneticPr fontId="11"/>
  </si>
  <si>
    <t>申込書番号：</t>
    <rPh sb="0" eb="3">
      <t>モウシコミショ</t>
    </rPh>
    <rPh sb="3" eb="5">
      <t>バンゴウ</t>
    </rPh>
    <phoneticPr fontId="14"/>
  </si>
  <si>
    <t>見積書番号：</t>
    <rPh sb="0" eb="3">
      <t>ミツモリショ</t>
    </rPh>
    <rPh sb="3" eb="5">
      <t>バンゴウ</t>
    </rPh>
    <phoneticPr fontId="14"/>
  </si>
  <si>
    <t>版番号</t>
    <rPh sb="0" eb="1">
      <t>ハン</t>
    </rPh>
    <rPh sb="1" eb="3">
      <t>バンゴウ</t>
    </rPh>
    <phoneticPr fontId="14"/>
  </si>
  <si>
    <t>改訂日</t>
    <rPh sb="0" eb="2">
      <t>カイテイ</t>
    </rPh>
    <rPh sb="2" eb="3">
      <t>ビ</t>
    </rPh>
    <phoneticPr fontId="14"/>
  </si>
  <si>
    <t>改訂内容</t>
    <rPh sb="0" eb="2">
      <t>カイテイ</t>
    </rPh>
    <rPh sb="2" eb="4">
      <t>ナイヨウ</t>
    </rPh>
    <phoneticPr fontId="14"/>
  </si>
  <si>
    <t>承認者</t>
    <rPh sb="0" eb="3">
      <t>ショウニンシャ</t>
    </rPh>
    <phoneticPr fontId="14"/>
  </si>
  <si>
    <t>担当者</t>
    <rPh sb="0" eb="3">
      <t>タントウシャ</t>
    </rPh>
    <phoneticPr fontId="14"/>
  </si>
  <si>
    <t>初版</t>
    <rPh sb="0" eb="2">
      <t>ショハン</t>
    </rPh>
    <phoneticPr fontId="14"/>
  </si>
  <si>
    <t>取扱担当者</t>
    <rPh sb="0" eb="2">
      <t>トリアツカ</t>
    </rPh>
    <rPh sb="2" eb="5">
      <t>タントウシャ</t>
    </rPh>
    <phoneticPr fontId="14"/>
  </si>
  <si>
    <t xml:space="preserve">  担当部署</t>
    <rPh sb="2" eb="4">
      <t>タントウ</t>
    </rPh>
    <rPh sb="4" eb="6">
      <t>ブショ</t>
    </rPh>
    <phoneticPr fontId="14"/>
  </si>
  <si>
    <r>
      <rPr>
        <sz val="12"/>
        <color theme="1"/>
        <rFont val="ＭＳ Ｐゴシック"/>
        <family val="3"/>
        <charset val="128"/>
      </rPr>
      <t>aslead</t>
    </r>
    <r>
      <rPr>
        <sz val="11"/>
        <color theme="1"/>
        <rFont val="ＭＳ Ｐゴシック"/>
        <family val="3"/>
        <charset val="128"/>
      </rPr>
      <t>サービス総合案内</t>
    </r>
    <r>
      <rPr>
        <sz val="9"/>
        <color theme="1"/>
        <rFont val="ＭＳ Ｐゴシック"/>
        <family val="3"/>
        <charset val="128"/>
      </rPr>
      <t>（</t>
    </r>
    <r>
      <rPr>
        <sz val="10"/>
        <color theme="1"/>
        <rFont val="ＭＳ Ｐゴシック"/>
        <family val="3"/>
        <charset val="128"/>
      </rPr>
      <t>aslead</t>
    </r>
    <r>
      <rPr>
        <sz val="9"/>
        <color theme="1"/>
        <rFont val="ＭＳ Ｐゴシック"/>
        <family val="3"/>
        <charset val="128"/>
      </rPr>
      <t>サービス規約詳細）</t>
    </r>
    <rPh sb="10" eb="12">
      <t>ソウゴウ</t>
    </rPh>
    <rPh sb="12" eb="14">
      <t>アンナイ</t>
    </rPh>
    <rPh sb="25" eb="27">
      <t>キヤク</t>
    </rPh>
    <rPh sb="27" eb="29">
      <t>ショウサイ</t>
    </rPh>
    <phoneticPr fontId="14"/>
  </si>
  <si>
    <r>
      <rPr>
        <sz val="12"/>
        <color theme="1"/>
        <rFont val="ＭＳ Ｐゴシック"/>
        <family val="3"/>
        <charset val="128"/>
      </rPr>
      <t>aslead</t>
    </r>
    <r>
      <rPr>
        <sz val="11"/>
        <color theme="1"/>
        <rFont val="ＭＳ Ｐゴシック"/>
        <family val="3"/>
        <charset val="128"/>
      </rPr>
      <t>サービス規約</t>
    </r>
    <rPh sb="10" eb="12">
      <t>キヤク</t>
    </rPh>
    <phoneticPr fontId="14"/>
  </si>
  <si>
    <t>〒</t>
    <phoneticPr fontId="14"/>
  </si>
  <si>
    <t>サービスの種類</t>
    <rPh sb="5" eb="7">
      <t>シュルイ</t>
    </rPh>
    <phoneticPr fontId="14"/>
  </si>
  <si>
    <t>契約型</t>
    <rPh sb="0" eb="2">
      <t>ケイヤク</t>
    </rPh>
    <rPh sb="2" eb="3">
      <t>カタ</t>
    </rPh>
    <phoneticPr fontId="14"/>
  </si>
  <si>
    <t>【付随サービス】</t>
    <rPh sb="1" eb="3">
      <t>フズイ</t>
    </rPh>
    <phoneticPr fontId="14"/>
  </si>
  <si>
    <t>【ライセンス/保守】</t>
    <rPh sb="7" eb="9">
      <t>ホシュ</t>
    </rPh>
    <phoneticPr fontId="14"/>
  </si>
  <si>
    <t>　郵便番号</t>
    <rPh sb="1" eb="5">
      <t>ユウビンバンゴウ</t>
    </rPh>
    <phoneticPr fontId="14"/>
  </si>
  <si>
    <t>ユーザ数*1</t>
    <rPh sb="3" eb="4">
      <t>スウ</t>
    </rPh>
    <phoneticPr fontId="14"/>
  </si>
  <si>
    <t>GitLab Subscription Agreement</t>
    <phoneticPr fontId="14"/>
  </si>
  <si>
    <t>Elastic MSP License and Support Agreement</t>
  </si>
  <si>
    <t>Miro Terms of Service</t>
    <phoneticPr fontId="14"/>
  </si>
  <si>
    <t>Miro Master Cloud Agreement</t>
    <phoneticPr fontId="14"/>
  </si>
  <si>
    <t xml:space="preserve"> 株式会社野村総合研究所
 aslead事業部
 aslead@nri.co.jp</t>
    <phoneticPr fontId="14"/>
  </si>
  <si>
    <t>Flexible Licensing Program Addendum</t>
    <phoneticPr fontId="14"/>
  </si>
  <si>
    <t>◇ 規約内容は添付別紙を参照</t>
    <rPh sb="2" eb="4">
      <t>キヤク</t>
    </rPh>
    <rPh sb="7" eb="9">
      <t>テンプ</t>
    </rPh>
    <rPh sb="9" eb="11">
      <t>ベッシ</t>
    </rPh>
    <rPh sb="12" eb="14">
      <t>サンショウ</t>
    </rPh>
    <phoneticPr fontId="14"/>
  </si>
  <si>
    <t>OneTrust Master Terms of Service</t>
    <phoneticPr fontId="14"/>
  </si>
  <si>
    <t>Miro補助利用規約</t>
    <phoneticPr fontId="14"/>
  </si>
  <si>
    <t>ジョーシスサービス利用規約</t>
    <phoneticPr fontId="14"/>
  </si>
  <si>
    <t>（ https://aslead.nri.co.jp/aslead_services_policy.pdf ）</t>
    <phoneticPr fontId="14"/>
  </si>
  <si>
    <t>（ https://aslead.nri.co.jp/aslead_services_general_information.pdf ）</t>
    <phoneticPr fontId="14"/>
  </si>
  <si>
    <t>（ https://about.gitlab.com/handbook/legal/subscription-agreement/ ）</t>
    <phoneticPr fontId="14"/>
  </si>
  <si>
    <t>（ https://miro.com/legal/terms-of-service/ ）</t>
    <phoneticPr fontId="14"/>
  </si>
  <si>
    <t>（ https://atgo.rgsis.com/index.php/rules/ ）</t>
    <phoneticPr fontId="14"/>
  </si>
  <si>
    <t>（ https://jp.josys.com/terms ）</t>
    <phoneticPr fontId="14"/>
  </si>
  <si>
    <t>不要</t>
  </si>
  <si>
    <t>－</t>
    <phoneticPr fontId="14"/>
  </si>
  <si>
    <t>～</t>
    <phoneticPr fontId="14"/>
  </si>
  <si>
    <t>AS-A01-2.1.1</t>
    <phoneticPr fontId="14"/>
  </si>
  <si>
    <t>検収期間</t>
    <phoneticPr fontId="14"/>
  </si>
  <si>
    <t>ご記入日</t>
    <rPh sb="1" eb="3">
      <t>キニュウ</t>
    </rPh>
    <rPh sb="3" eb="4">
      <t>ビ</t>
    </rPh>
    <phoneticPr fontId="11"/>
  </si>
  <si>
    <t>　所在地</t>
    <phoneticPr fontId="14"/>
  </si>
  <si>
    <t>　役職名</t>
    <rPh sb="1" eb="4">
      <t>ヤクショクメイ</t>
    </rPh>
    <phoneticPr fontId="14"/>
  </si>
  <si>
    <t>　氏名</t>
    <rPh sb="1" eb="3">
      <t>シメイ</t>
    </rPh>
    <phoneticPr fontId="14"/>
  </si>
  <si>
    <t>－</t>
  </si>
  <si>
    <t>付随サービスの種類</t>
    <rPh sb="0" eb="2">
      <t>フズイ</t>
    </rPh>
    <rPh sb="7" eb="9">
      <t>シュルイ</t>
    </rPh>
    <phoneticPr fontId="14"/>
  </si>
  <si>
    <t>期　間</t>
    <rPh sb="0" eb="1">
      <t>キ</t>
    </rPh>
    <rPh sb="2" eb="3">
      <t>カン</t>
    </rPh>
    <phoneticPr fontId="14"/>
  </si>
  <si>
    <t>期　間</t>
    <rPh sb="0" eb="1">
      <t>キカン</t>
    </rPh>
    <phoneticPr fontId="14"/>
  </si>
  <si>
    <t xml:space="preserve"> ■ 特約事項</t>
    <rPh sb="3" eb="5">
      <t>トクヤク</t>
    </rPh>
    <rPh sb="5" eb="7">
      <t>ジコウ</t>
    </rPh>
    <phoneticPr fontId="14"/>
  </si>
  <si>
    <t xml:space="preserve"> ■ 特記事項</t>
    <rPh sb="3" eb="5">
      <t>トッキ</t>
    </rPh>
    <rPh sb="5" eb="7">
      <t>ジコウ</t>
    </rPh>
    <phoneticPr fontId="14"/>
  </si>
  <si>
    <t>●本サービスの取引を通じてご提供いただいたお客様の情報（個人情報を含む）、購入履歴、契約状況等（以下、お客様情報といいます）の利用目的は以下の通りです。
　　(1)取引の履行、(2)申込内容の確認及び正確性の確保、(3)サポートサービスの提供、(4)契約に関する諸連絡、
　　(5）NRIに関連する製品・サービス・セミナー・イベントの案内、(6)アンケート調査やNRI製品に関する各種協力の依頼
●NRIは、上記目的の範囲内において、NRIの業務委託先に対し、お客様情報の一部を開示する場合があります。
●個人情報の開示、訂正、削除、利用停止等を求められた場合は下記窓口にて合理的な範囲でこれに応じます。
●お客様情報の取扱いに関するお問い合わせ先は以下のとおりとします。
　　株式会社野村総合研究所　e-mail：aslead@nri.co.jp</t>
    <phoneticPr fontId="14"/>
  </si>
  <si>
    <t>準委任型</t>
  </si>
  <si>
    <t>請負型</t>
  </si>
  <si>
    <t>asleadサービス申込書 （兼 変更申込書）</t>
  </si>
  <si>
    <t>Atlassian製品等申込書 （兼 変更申込書）</t>
  </si>
  <si>
    <t>Miro製品申込書 （兼 変更申込書）</t>
  </si>
  <si>
    <t>asleadサービス申込確認書 （兼 変更申込確認書）</t>
  </si>
  <si>
    <t>Atlassian製品等申込確認書 （兼 変更申込確認書）</t>
  </si>
  <si>
    <t>Miro製品申込確認書 （兼 変更申込確認書）</t>
  </si>
  <si>
    <t>AS-B01-2.1.1</t>
    <phoneticPr fontId="14"/>
  </si>
  <si>
    <t>★</t>
  </si>
  <si>
    <t>お客様が本申込書以外の書面によってNRIにasleadサービスもしくは各製品をご注文した場合であっても、それらに記載された取引条件は適用されず、本申込書の記載事項が適用されるものとします。</t>
    <phoneticPr fontId="14"/>
  </si>
  <si>
    <t>Mattermost Software and Services License Agreement</t>
    <phoneticPr fontId="14"/>
  </si>
  <si>
    <t>Mattermost利用規約変更</t>
    <rPh sb="10" eb="12">
      <t>リヨウ</t>
    </rPh>
    <rPh sb="12" eb="14">
      <t>キヤク</t>
    </rPh>
    <rPh sb="14" eb="16">
      <t>ヘンコウ</t>
    </rPh>
    <phoneticPr fontId="14"/>
  </si>
  <si>
    <t>AS-B01-2.1.2</t>
    <phoneticPr fontId="14"/>
  </si>
  <si>
    <t>AS-A01-2.1.2</t>
    <phoneticPr fontId="14"/>
  </si>
  <si>
    <t>Elastic Software Subscription Agreement</t>
  </si>
  <si>
    <t>（ https://www.elastic.co/agreements/global/self-managed ）</t>
    <phoneticPr fontId="14"/>
  </si>
  <si>
    <t>&lt;Elastic Order formに基づく契約文面変更事項&gt;
The Elastic MSP Subscription set forth in this Order Form (“MSP Subscription“) is governed by, and that portion of this Order Form, hereby incorporated into the Elastic MSP Subscription Agreement located at [https://www.elastic.co/agreements/global/msp](https://www.elastic.co/agreements/global/msp) ("MSP License and Support Agreement").  The parties agree that line 30 of Section 2.6 of the MSP License and Support Agreement shall be amended to “*confusingly similar to the **registered** Elastic Trademarks.*”</t>
    <phoneticPr fontId="14"/>
  </si>
  <si>
    <t>VEX 使用権許諾</t>
  </si>
  <si>
    <t>□</t>
  </si>
  <si>
    <t>AS-A01-2.2.1</t>
    <phoneticPr fontId="14"/>
  </si>
  <si>
    <t>規約追加（記入欄追加）＋事務欄変更</t>
    <rPh sb="0" eb="2">
      <t>キヤク</t>
    </rPh>
    <rPh sb="2" eb="4">
      <t>ツイカ</t>
    </rPh>
    <rPh sb="5" eb="7">
      <t>キニュウ</t>
    </rPh>
    <rPh sb="7" eb="8">
      <t>ラン</t>
    </rPh>
    <rPh sb="8" eb="10">
      <t>ツイカ</t>
    </rPh>
    <rPh sb="12" eb="14">
      <t>ジム</t>
    </rPh>
    <rPh sb="14" eb="15">
      <t>ラン</t>
    </rPh>
    <rPh sb="15" eb="17">
      <t>ヘンコウ</t>
    </rPh>
    <phoneticPr fontId="14"/>
  </si>
  <si>
    <t>（ https://www.delphix.com/legal ）</t>
    <phoneticPr fontId="14"/>
  </si>
  <si>
    <t>Delphix Product License and Services Agreement</t>
    <phoneticPr fontId="14"/>
  </si>
  <si>
    <t>Terms and Conditions of Delphix Solutions order form</t>
    <phoneticPr fontId="14"/>
  </si>
  <si>
    <t>AS-A01-2.2.2</t>
    <phoneticPr fontId="14"/>
  </si>
  <si>
    <t>AS-B01-2.2.1</t>
    <phoneticPr fontId="14"/>
  </si>
  <si>
    <t>AS-B01-2.2.2</t>
    <phoneticPr fontId="14"/>
  </si>
  <si>
    <t>Delphix規約追加</t>
    <rPh sb="7" eb="9">
      <t>キヤク</t>
    </rPh>
    <rPh sb="9" eb="11">
      <t>ツイカ</t>
    </rPh>
    <phoneticPr fontId="14"/>
  </si>
  <si>
    <t>Sourcegraph Terms of Service</t>
    <phoneticPr fontId="14"/>
  </si>
  <si>
    <t>( https://about.sourcegraph.com/terms )</t>
    <phoneticPr fontId="14"/>
  </si>
  <si>
    <t>AS-B01-2.2.3</t>
    <phoneticPr fontId="14"/>
  </si>
  <si>
    <t>Sourcegraph規約追加</t>
    <rPh sb="11" eb="13">
      <t>キヤク</t>
    </rPh>
    <rPh sb="13" eb="15">
      <t>ツイカ</t>
    </rPh>
    <phoneticPr fontId="14"/>
  </si>
  <si>
    <t>AS-A01-2.2.3</t>
    <phoneticPr fontId="14"/>
  </si>
  <si>
    <t>( https://www.keysight.com/jp/ja/assets/ndx/9018-08126/exhibits/9018-08126.pdf )</t>
    <phoneticPr fontId="14"/>
  </si>
  <si>
    <t>( https://about.sourcegraph.com/terms/cody-notice )</t>
    <phoneticPr fontId="14"/>
  </si>
  <si>
    <t>Cody Usage and Privacy Notic</t>
    <phoneticPr fontId="14"/>
  </si>
  <si>
    <t>AS-A01-2.2.4</t>
    <phoneticPr fontId="14"/>
  </si>
  <si>
    <t>AS-B01-2.2.4</t>
    <phoneticPr fontId="14"/>
  </si>
  <si>
    <t>なし</t>
  </si>
  <si>
    <t>環境構築</t>
  </si>
  <si>
    <t>導入支援</t>
  </si>
  <si>
    <t>プロフェッショナルサービス</t>
  </si>
  <si>
    <t>Keysight規約追加、Sourcegraph規約追加
Siemens特記事項追加</t>
    <rPh sb="8" eb="10">
      <t>キヤク</t>
    </rPh>
    <rPh sb="10" eb="12">
      <t>ツイカ</t>
    </rPh>
    <rPh sb="24" eb="26">
      <t>キヤク</t>
    </rPh>
    <rPh sb="26" eb="28">
      <t>ツイカ</t>
    </rPh>
    <rPh sb="36" eb="38">
      <t>トッキ</t>
    </rPh>
    <rPh sb="38" eb="40">
      <t>ジコウ</t>
    </rPh>
    <rPh sb="40" eb="42">
      <t>ツイカ</t>
    </rPh>
    <phoneticPr fontId="14"/>
  </si>
  <si>
    <t>OneTrust特約事項追加</t>
    <rPh sb="8" eb="10">
      <t>トクヤク</t>
    </rPh>
    <rPh sb="10" eb="12">
      <t>ジコウ</t>
    </rPh>
    <rPh sb="12" eb="14">
      <t>ツイカ</t>
    </rPh>
    <phoneticPr fontId="14"/>
  </si>
  <si>
    <t>AS-A01-2.2.5</t>
    <phoneticPr fontId="14"/>
  </si>
  <si>
    <t>AS-B01-2.2.5</t>
    <phoneticPr fontId="14"/>
  </si>
  <si>
    <t>通常</t>
  </si>
  <si>
    <t>二次代理店様式追加</t>
    <rPh sb="0" eb="5">
      <t>ニジダイリテン</t>
    </rPh>
    <rPh sb="5" eb="7">
      <t>ヨウシキ</t>
    </rPh>
    <rPh sb="7" eb="9">
      <t>ツイカ</t>
    </rPh>
    <phoneticPr fontId="14"/>
  </si>
  <si>
    <t>AS-A01-2.3.1</t>
    <phoneticPr fontId="14"/>
  </si>
  <si>
    <t>AS-B01-2.3.1</t>
    <phoneticPr fontId="14"/>
  </si>
  <si>
    <t>申込確認書</t>
    <rPh sb="2" eb="4">
      <t>カクニン</t>
    </rPh>
    <phoneticPr fontId="14"/>
  </si>
  <si>
    <t>申込書</t>
    <phoneticPr fontId="14"/>
  </si>
  <si>
    <t>申込書(顧客様二次代理店様間提供用)</t>
    <phoneticPr fontId="14"/>
  </si>
  <si>
    <t>AS-D01-2.3.1</t>
    <phoneticPr fontId="14"/>
  </si>
  <si>
    <t>KEYSIGHT TERMS OF SALE FOR EGGPLANT SOFTWARE LICENSES AND SERVICES</t>
    <phoneticPr fontId="14"/>
  </si>
  <si>
    <t>Keysight規約名称変更</t>
    <rPh sb="8" eb="10">
      <t>キヤク</t>
    </rPh>
    <rPh sb="10" eb="12">
      <t>メイショウ</t>
    </rPh>
    <rPh sb="12" eb="14">
      <t>ヘンコウ</t>
    </rPh>
    <phoneticPr fontId="14"/>
  </si>
  <si>
    <t>AS-A01-2.3.1a</t>
    <phoneticPr fontId="14"/>
  </si>
  <si>
    <t>AS-B01-2.3.1a</t>
    <phoneticPr fontId="14"/>
  </si>
  <si>
    <t>NDAPサービス申込済</t>
    <phoneticPr fontId="14"/>
  </si>
  <si>
    <t>他サービス利用</t>
    <phoneticPr fontId="14"/>
  </si>
  <si>
    <t>【NDAPサービス上でasleadサービスをご利用になる場合】</t>
    <phoneticPr fontId="14"/>
  </si>
  <si>
    <t>NDAPサービス上でasleadサービスをご利用になる場合、NDAPサービスのお申込みが必須となります。本サービス申込書に加え
別途「NDAPサービス申込書（兼 変更申込書）」にて、NDAPサービスをお申込みください。
なお、NDAPサービスを既にご利用中のお客様で新たにasleadサービスをご利用される場合、以下の「NDAPサービス利用済」の
チェック欄にチェックのうえ、asleadサービスをお申し込みください。</t>
    <phoneticPr fontId="14"/>
  </si>
  <si>
    <t>使用許諾先（Licensee）</t>
    <rPh sb="0" eb="2">
      <t>シヨウ</t>
    </rPh>
    <rPh sb="2" eb="4">
      <t>キョダク</t>
    </rPh>
    <rPh sb="4" eb="5">
      <t>サキ</t>
    </rPh>
    <phoneticPr fontId="11"/>
  </si>
  <si>
    <t>NDAPサービス利用確認</t>
    <rPh sb="8" eb="10">
      <t>リヨウ</t>
    </rPh>
    <rPh sb="10" eb="12">
      <t>カクニン</t>
    </rPh>
    <phoneticPr fontId="14"/>
  </si>
  <si>
    <t>吉澤</t>
    <rPh sb="0" eb="2">
      <t>ヨシザワ</t>
    </rPh>
    <phoneticPr fontId="14"/>
  </si>
  <si>
    <t>大塚</t>
    <rPh sb="0" eb="2">
      <t>オオツカ</t>
    </rPh>
    <phoneticPr fontId="14"/>
  </si>
  <si>
    <t>製品内訳欄追加</t>
    <rPh sb="0" eb="2">
      <t>セイヒン</t>
    </rPh>
    <rPh sb="2" eb="4">
      <t>ウチワケ</t>
    </rPh>
    <rPh sb="4" eb="5">
      <t>ラン</t>
    </rPh>
    <rPh sb="5" eb="7">
      <t>ツイカ</t>
    </rPh>
    <phoneticPr fontId="14"/>
  </si>
  <si>
    <t>「基盤・運用サービスの支払条件（月額）」追加</t>
    <rPh sb="1" eb="3">
      <t>キバン</t>
    </rPh>
    <rPh sb="4" eb="6">
      <t>ウンヨウ</t>
    </rPh>
    <rPh sb="11" eb="13">
      <t>シハライ</t>
    </rPh>
    <rPh sb="13" eb="15">
      <t>ジョウケン</t>
    </rPh>
    <rPh sb="16" eb="18">
      <t>ゲツガク</t>
    </rPh>
    <rPh sb="20" eb="22">
      <t>ツイカ</t>
    </rPh>
    <phoneticPr fontId="14"/>
  </si>
  <si>
    <t>Terraform Cloud User Agreement HashiCorp, Inc.</t>
    <phoneticPr fontId="14"/>
  </si>
  <si>
    <t>（ https://eula.hashicorp.com/BusinessPartnerEULA.pdf ）</t>
    <phoneticPr fontId="14"/>
  </si>
  <si>
    <t>（ https://eula.hashicorp.com/BusinessPartnerCloudAgreement.pdf ）</t>
    <phoneticPr fontId="14"/>
  </si>
  <si>
    <t>（ https://app.terraform.io/pages/terms ）</t>
    <phoneticPr fontId="14"/>
  </si>
  <si>
    <t>初版（HashiCorp製品用）</t>
    <rPh sb="0" eb="2">
      <t>ショハン</t>
    </rPh>
    <rPh sb="12" eb="14">
      <t>セイヒン</t>
    </rPh>
    <rPh sb="14" eb="15">
      <t>ヨウ</t>
    </rPh>
    <phoneticPr fontId="14"/>
  </si>
  <si>
    <t>初版（ジョーシス製品用）</t>
    <rPh sb="0" eb="2">
      <t>ショハン</t>
    </rPh>
    <rPh sb="8" eb="10">
      <t>セイヒン</t>
    </rPh>
    <rPh sb="10" eb="11">
      <t>ヨウ</t>
    </rPh>
    <phoneticPr fontId="14"/>
  </si>
  <si>
    <t>HashiCorp規約追加、本文利用規約箇所修正</t>
    <rPh sb="9" eb="11">
      <t>キヤク</t>
    </rPh>
    <rPh sb="11" eb="13">
      <t>ツイカ</t>
    </rPh>
    <rPh sb="14" eb="16">
      <t>ホンブン</t>
    </rPh>
    <rPh sb="16" eb="18">
      <t>リヨウ</t>
    </rPh>
    <rPh sb="18" eb="20">
      <t>キヤク</t>
    </rPh>
    <rPh sb="20" eb="22">
      <t>カショ</t>
    </rPh>
    <rPh sb="22" eb="24">
      <t>シュウセイ</t>
    </rPh>
    <phoneticPr fontId="14"/>
  </si>
  <si>
    <t>（ジョーシス製品用）本文利用規約箇所修正</t>
    <rPh sb="6" eb="8">
      <t>セイヒン</t>
    </rPh>
    <rPh sb="8" eb="9">
      <t>ヨウ</t>
    </rPh>
    <phoneticPr fontId="14"/>
  </si>
  <si>
    <t>AS-D02-2.3.2</t>
    <phoneticPr fontId="14"/>
  </si>
  <si>
    <t>AS-D01-2.3.2</t>
    <phoneticPr fontId="14"/>
  </si>
  <si>
    <t>AS-A01-2.4.1</t>
    <phoneticPr fontId="14"/>
  </si>
  <si>
    <t>AS-A01-2.4.2</t>
    <phoneticPr fontId="14"/>
  </si>
  <si>
    <t>AS-A01-2.4.3</t>
    <phoneticPr fontId="14"/>
  </si>
  <si>
    <t>AS-A01-2.4.4</t>
    <phoneticPr fontId="14"/>
  </si>
  <si>
    <t>AS-B01-2.4.1</t>
    <phoneticPr fontId="14"/>
  </si>
  <si>
    <t>AS-B01-2.4.2</t>
    <phoneticPr fontId="14"/>
  </si>
  <si>
    <t>AS-B01-2.4.3</t>
    <phoneticPr fontId="14"/>
  </si>
  <si>
    <t>AS-B01-2.4.4</t>
    <phoneticPr fontId="14"/>
  </si>
  <si>
    <t>Atlassian Customer Agreement</t>
    <phoneticPr fontId="14"/>
  </si>
  <si>
    <t>（ https://www.atlassian.com/legal/atlassian-customer-agreement#intro ）</t>
    <phoneticPr fontId="14"/>
  </si>
  <si>
    <t>AS-A01-2.4.5</t>
    <phoneticPr fontId="14"/>
  </si>
  <si>
    <t>Atlassian利用規約、支払条件</t>
    <rPh sb="9" eb="11">
      <t>リヨウ</t>
    </rPh>
    <rPh sb="11" eb="13">
      <t>キヤク</t>
    </rPh>
    <rPh sb="14" eb="16">
      <t>シハライ</t>
    </rPh>
    <rPh sb="16" eb="18">
      <t>ジョウケン</t>
    </rPh>
    <phoneticPr fontId="14"/>
  </si>
  <si>
    <t>AS-B01-2.4.5</t>
    <phoneticPr fontId="14"/>
  </si>
  <si>
    <t>SNOWFLAKE 利用規約</t>
    <phoneticPr fontId="14"/>
  </si>
  <si>
    <t>（ https://www.snowflake.com/legal/?lang=ja ）</t>
    <phoneticPr fontId="14"/>
  </si>
  <si>
    <t>（ https://asana.com/terms/subscriber-terms ）</t>
    <phoneticPr fontId="14"/>
  </si>
  <si>
    <t>SNOWFLAKE利用規約
asanaサブスクリプション加入者条件規約</t>
    <rPh sb="33" eb="35">
      <t>キヤク</t>
    </rPh>
    <phoneticPr fontId="14"/>
  </si>
  <si>
    <t>AS-A01-2.4.6</t>
    <phoneticPr fontId="14"/>
  </si>
  <si>
    <t>AS-B01-2.4.6</t>
    <phoneticPr fontId="14"/>
  </si>
  <si>
    <t>Asana Subscriber Terms</t>
    <phoneticPr fontId="14"/>
  </si>
  <si>
    <t>（ https://mattermost.com/software-services-license-agreement/ ）</t>
    <phoneticPr fontId="14"/>
  </si>
  <si>
    <t>（ https://miro.com/legal/master-cloud-agreement/ ）</t>
    <phoneticPr fontId="14"/>
  </si>
  <si>
    <t>ATgo ライセンス使用許諾規約</t>
    <phoneticPr fontId="14"/>
  </si>
  <si>
    <t>ENTERPRISE SOFTWARE LICENSE AGREEMENT：On-Premise Software</t>
    <phoneticPr fontId="14"/>
  </si>
  <si>
    <t>CLOUD SUBSCRIPTION AGREEMENT：Cloud Software</t>
    <phoneticPr fontId="14"/>
  </si>
  <si>
    <t>マイクロソフト顧客契約</t>
    <phoneticPr fontId="14"/>
  </si>
  <si>
    <t>（ https://www.microsoft.com/licensing/docs/customeragreement ）</t>
    <phoneticPr fontId="14"/>
  </si>
  <si>
    <t>AS-A01-2.4.7</t>
    <phoneticPr fontId="14"/>
  </si>
  <si>
    <t>AS-B01-2.4.7</t>
    <phoneticPr fontId="14"/>
  </si>
  <si>
    <t>マイクロソフト顧客契約（GitHub規約）
規約並び順をasleadサービス規約順に合せる</t>
    <rPh sb="18" eb="20">
      <t>キヤク</t>
    </rPh>
    <rPh sb="22" eb="24">
      <t>キヤク</t>
    </rPh>
    <rPh sb="24" eb="25">
      <t>ナラ</t>
    </rPh>
    <rPh sb="26" eb="27">
      <t>ジュン</t>
    </rPh>
    <rPh sb="38" eb="40">
      <t>キヤク</t>
    </rPh>
    <rPh sb="40" eb="41">
      <t>ジュン</t>
    </rPh>
    <rPh sb="42" eb="43">
      <t>アワ</t>
    </rPh>
    <phoneticPr fontId="14"/>
  </si>
  <si>
    <t>AS-A01-2.4.8</t>
    <phoneticPr fontId="14"/>
  </si>
  <si>
    <t>OneTrust特約事項削除</t>
    <rPh sb="8" eb="10">
      <t>トクヤク</t>
    </rPh>
    <rPh sb="10" eb="12">
      <t>ジコウ</t>
    </rPh>
    <rPh sb="12" eb="14">
      <t>サクジョ</t>
    </rPh>
    <phoneticPr fontId="14"/>
  </si>
  <si>
    <t>AS-B01-2.4.8</t>
    <phoneticPr fontId="14"/>
  </si>
  <si>
    <t>AS-A01-2.4.9</t>
    <phoneticPr fontId="14"/>
  </si>
  <si>
    <t>支払条件選択肢追加</t>
    <rPh sb="0" eb="4">
      <t>シハライジョウケン</t>
    </rPh>
    <rPh sb="4" eb="7">
      <t>センタクシ</t>
    </rPh>
    <rPh sb="7" eb="9">
      <t>ツイカ</t>
    </rPh>
    <phoneticPr fontId="14"/>
  </si>
  <si>
    <t>AS-B01-2.4.9</t>
    <phoneticPr fontId="14"/>
  </si>
  <si>
    <t>　yyyy年 mm月末請求、yyyy年 mm月末支払</t>
  </si>
  <si>
    <t>AS-A01-2.4.10</t>
    <phoneticPr fontId="14"/>
  </si>
  <si>
    <t>利用期間と支払条件の算式解除</t>
    <rPh sb="0" eb="4">
      <t>リヨウキカン</t>
    </rPh>
    <rPh sb="5" eb="9">
      <t>シハライジョウケン</t>
    </rPh>
    <rPh sb="10" eb="12">
      <t>サンシキ</t>
    </rPh>
    <rPh sb="12" eb="14">
      <t>カイジョ</t>
    </rPh>
    <phoneticPr fontId="14"/>
  </si>
  <si>
    <t>AS-B01-2.4.10</t>
    <phoneticPr fontId="14"/>
  </si>
  <si>
    <t>AS-B01-2.4.11</t>
    <phoneticPr fontId="14"/>
  </si>
  <si>
    <t>AS-A01-2.4.11</t>
    <phoneticPr fontId="14"/>
  </si>
  <si>
    <t>（ https://legal.onetrust.com/ ）</t>
    <phoneticPr fontId="14"/>
  </si>
  <si>
    <t>Sourcegraph規約一部削除
OneTrust利用規約変更、特約事項追加</t>
    <rPh sb="11" eb="13">
      <t>キヤク</t>
    </rPh>
    <rPh sb="13" eb="15">
      <t>イチブ</t>
    </rPh>
    <rPh sb="15" eb="17">
      <t>サクジョ</t>
    </rPh>
    <rPh sb="26" eb="28">
      <t>リヨウ</t>
    </rPh>
    <rPh sb="28" eb="30">
      <t>キヤク</t>
    </rPh>
    <rPh sb="30" eb="32">
      <t>ヘンコウ</t>
    </rPh>
    <rPh sb="33" eb="35">
      <t>トクヤク</t>
    </rPh>
    <rPh sb="35" eb="37">
      <t>ジコウ</t>
    </rPh>
    <rPh sb="37" eb="39">
      <t>ツイカ</t>
    </rPh>
    <phoneticPr fontId="14"/>
  </si>
  <si>
    <t>数量*2</t>
    <rPh sb="0" eb="2">
      <t>スウリョウ</t>
    </rPh>
    <phoneticPr fontId="14"/>
  </si>
  <si>
    <t>注1）Elasticの場合はノード数、ATgoの場合は台数　注2）GitHubの場合は係数</t>
    <rPh sb="0" eb="1">
      <t>チュウ</t>
    </rPh>
    <rPh sb="11" eb="13">
      <t>バアイ</t>
    </rPh>
    <rPh sb="17" eb="18">
      <t>スウ</t>
    </rPh>
    <rPh sb="24" eb="26">
      <t>バアイ</t>
    </rPh>
    <rPh sb="27" eb="29">
      <t>ダイスウ</t>
    </rPh>
    <rPh sb="30" eb="31">
      <t>チュウ</t>
    </rPh>
    <rPh sb="40" eb="42">
      <t>バアイ</t>
    </rPh>
    <rPh sb="43" eb="45">
      <t>ケイスウ</t>
    </rPh>
    <phoneticPr fontId="14"/>
  </si>
  <si>
    <t>AS-A01-2.4.12</t>
    <phoneticPr fontId="14"/>
  </si>
  <si>
    <t>GitHub特約事項追加、支払条件補記追加</t>
    <rPh sb="6" eb="8">
      <t>トクヤク</t>
    </rPh>
    <rPh sb="8" eb="10">
      <t>ジコウ</t>
    </rPh>
    <rPh sb="10" eb="12">
      <t>ツイカ</t>
    </rPh>
    <rPh sb="13" eb="15">
      <t>シハライ</t>
    </rPh>
    <rPh sb="15" eb="17">
      <t>ジョウケン</t>
    </rPh>
    <rPh sb="17" eb="19">
      <t>ホキ</t>
    </rPh>
    <rPh sb="19" eb="21">
      <t>ツイカ</t>
    </rPh>
    <phoneticPr fontId="14"/>
  </si>
  <si>
    <t>AS-B01-2.4.12</t>
    <phoneticPr fontId="14"/>
  </si>
  <si>
    <t>AWSマーケットプレイス特約条項</t>
  </si>
  <si>
    <t>aslead規約（要）</t>
  </si>
  <si>
    <t>AS-A01-2.5.1</t>
    <phoneticPr fontId="14"/>
  </si>
  <si>
    <t>AWS_CPPO対応（特約事項追加、支払条件）</t>
    <rPh sb="8" eb="10">
      <t>タイオウ</t>
    </rPh>
    <rPh sb="11" eb="13">
      <t>トクヤク</t>
    </rPh>
    <rPh sb="13" eb="15">
      <t>ジコウ</t>
    </rPh>
    <rPh sb="15" eb="17">
      <t>ツイカ</t>
    </rPh>
    <rPh sb="18" eb="20">
      <t>シハライ</t>
    </rPh>
    <rPh sb="20" eb="22">
      <t>ジョウケン</t>
    </rPh>
    <phoneticPr fontId="14"/>
  </si>
  <si>
    <t>AS-B01-2.5.1</t>
    <phoneticPr fontId="14"/>
  </si>
  <si>
    <t>（ https://autify.com/ja/terms ）</t>
    <phoneticPr fontId="14"/>
  </si>
  <si>
    <t>Autifyサービス利用規約</t>
    <phoneticPr fontId="14"/>
  </si>
  <si>
    <t>Master Subscription Agreement</t>
  </si>
  <si>
    <t>（ https://www.notion.so/notion/master-subscription-agreement ）</t>
    <phoneticPr fontId="14"/>
  </si>
  <si>
    <t>AS-A01-2.5.2</t>
    <phoneticPr fontId="14"/>
  </si>
  <si>
    <t>AS-B01-2.5.2</t>
    <phoneticPr fontId="14"/>
  </si>
  <si>
    <t>Notion（利用規約、特約事項）追加
Autify（利用規約、特約事項）追加
件名「aslead取扱い製品申込書」追加</t>
    <rPh sb="7" eb="9">
      <t>リヨウ</t>
    </rPh>
    <rPh sb="9" eb="11">
      <t>キヤク</t>
    </rPh>
    <rPh sb="12" eb="14">
      <t>トクヤク</t>
    </rPh>
    <rPh sb="14" eb="16">
      <t>ジコウ</t>
    </rPh>
    <rPh sb="17" eb="19">
      <t>ツイカ</t>
    </rPh>
    <rPh sb="40" eb="42">
      <t>ケンメイ</t>
    </rPh>
    <rPh sb="49" eb="51">
      <t>トリアツカ</t>
    </rPh>
    <rPh sb="52" eb="54">
      <t>セイヒン</t>
    </rPh>
    <rPh sb="54" eb="57">
      <t>モウ</t>
    </rPh>
    <rPh sb="58" eb="60">
      <t>ツイカ</t>
    </rPh>
    <phoneticPr fontId="14"/>
  </si>
  <si>
    <t>Notion（利用規約、特約事項）追加
Autify（利用規約、特約事項）追加
件名「aslead取扱い製品申込確認書」追加</t>
    <rPh sb="7" eb="9">
      <t>リヨウ</t>
    </rPh>
    <rPh sb="9" eb="11">
      <t>キヤク</t>
    </rPh>
    <rPh sb="12" eb="14">
      <t>トクヤク</t>
    </rPh>
    <rPh sb="14" eb="16">
      <t>ジコウ</t>
    </rPh>
    <rPh sb="17" eb="19">
      <t>ツイカ</t>
    </rPh>
    <rPh sb="40" eb="42">
      <t>ケンメイ</t>
    </rPh>
    <rPh sb="49" eb="51">
      <t>トリアツカ</t>
    </rPh>
    <rPh sb="52" eb="54">
      <t>セイヒン</t>
    </rPh>
    <rPh sb="54" eb="56">
      <t>モウシコミ</t>
    </rPh>
    <rPh sb="56" eb="59">
      <t>カクニンショ</t>
    </rPh>
    <rPh sb="60" eb="62">
      <t>ツイカ</t>
    </rPh>
    <phoneticPr fontId="14"/>
  </si>
  <si>
    <t>AS-A01-2.5.3</t>
    <phoneticPr fontId="14"/>
  </si>
  <si>
    <t>Miro（利用規約、特約事項）追加
Technical Account Management（TAMサービス）</t>
    <rPh sb="5" eb="7">
      <t>リヨウ</t>
    </rPh>
    <rPh sb="7" eb="9">
      <t>キヤク</t>
    </rPh>
    <rPh sb="10" eb="12">
      <t>トクヤク</t>
    </rPh>
    <rPh sb="12" eb="14">
      <t>ジコウ</t>
    </rPh>
    <rPh sb="15" eb="17">
      <t>ツイカ</t>
    </rPh>
    <phoneticPr fontId="14"/>
  </si>
  <si>
    <t>AS-B01-2.5.3</t>
    <phoneticPr fontId="14"/>
  </si>
  <si>
    <t>TAM_Technical Services Advisory Services Addendum_MiroSupport</t>
    <phoneticPr fontId="14"/>
  </si>
  <si>
    <t>MOST_Technical Services Advisory Services Addendum</t>
    <phoneticPr fontId="14"/>
  </si>
  <si>
    <t>AS-A01-2.5.4</t>
    <phoneticPr fontId="14"/>
  </si>
  <si>
    <t>Miro利用規約
追加:Technical Services Advisory Services Addendum
変更:Technical Services Advisory Services Addendum_MiroSupport
　　 旧（Technical Account Management）</t>
    <rPh sb="4" eb="6">
      <t>リヨウ</t>
    </rPh>
    <rPh sb="6" eb="8">
      <t>キヤク</t>
    </rPh>
    <rPh sb="58" eb="60">
      <t>ヘンコウ</t>
    </rPh>
    <rPh sb="122" eb="123">
      <t>キュウ</t>
    </rPh>
    <phoneticPr fontId="14"/>
  </si>
  <si>
    <t>AS-B01-2.5.4</t>
    <phoneticPr fontId="14"/>
  </si>
  <si>
    <t>※特約事項欄参照</t>
  </si>
  <si>
    <t>☆</t>
  </si>
  <si>
    <t>NRI／二次</t>
  </si>
  <si>
    <t>NDAP</t>
  </si>
  <si>
    <t>AWS_CPPO</t>
  </si>
  <si>
    <t>202512-10-2165640</t>
  </si>
  <si>
    <t>リスト項目</t>
  </si>
  <si>
    <t/>
  </si>
  <si>
    <t>aslead要</t>
  </si>
  <si>
    <t>aslead取扱い製品申込書 （兼 変更申込書）</t>
  </si>
  <si>
    <t>aslead取扱い製品申込確認書 （兼 変更申込確認書）</t>
  </si>
  <si>
    <t>GitHub製品</t>
  </si>
  <si>
    <t>申込書文</t>
  </si>
  <si>
    <t>確認書文</t>
  </si>
  <si>
    <t>申込書通常文</t>
  </si>
  <si>
    <t>確認書通常文</t>
  </si>
  <si>
    <t>申込書二次文</t>
  </si>
  <si>
    <t>確認書二次文</t>
  </si>
  <si>
    <t>当社は、株式会社野村総合研究所（以下「ＮＲＩ」という）所定の申込書で「各利用規約」を承認し本サービスを申し込みます。</t>
  </si>
  <si>
    <t>「asleadサービス申込書 （兼 変更申込書）」にてお申込み頂きました以下の件、お申込みをお受けいたします</t>
  </si>
  <si>
    <t>当社は、株式会社野村総合研究所（以下「ＮＲＩ」という）所定の申込書で「各利用規約」を使用許諾先（エンドユーザ）に同意させ、本サービスを申し込みます。</t>
  </si>
  <si>
    <t>「asleadサービス申込確認書 （兼 変更申込確認書）」にてお申込み頂きました以下の件、お申込みをお受けいたします</t>
  </si>
  <si>
    <t>　</t>
  </si>
  <si>
    <t>※黄色各項目部分をご記入ください。</t>
  </si>
  <si>
    <t xml:space="preserve"> </t>
  </si>
  <si>
    <t>※決裁権限のある方からのお申し込みをお願いします。</t>
  </si>
  <si>
    <t>ＮＲＩデジタル株式会社</t>
  </si>
  <si>
    <t>※ご同意頂ける規約の□印にチェック(■印)をお願いいたします。なお、ご同意頂けない場合は、サービスのご利用はできません。</t>
  </si>
  <si>
    <t>※お客様がご同意頂いた規約（■印）は次のとおり通りです。</t>
  </si>
  <si>
    <t>Atlassian製品</t>
  </si>
  <si>
    <t>製品</t>
  </si>
  <si>
    <t>開始</t>
  </si>
  <si>
    <t>終了</t>
  </si>
  <si>
    <t>ユーザ数</t>
  </si>
  <si>
    <t>単価</t>
  </si>
  <si>
    <t>GitHub製品（Enterprise）_新規【月額固定費】NRI技術サポート付</t>
  </si>
  <si>
    <t>Atlassian製品_更新（NRI技術サポート付）</t>
  </si>
  <si>
    <t>GitHub製品（Enterprise）_追加</t>
  </si>
  <si>
    <t>Mattermost製品_新規（NRI技術サポート付）</t>
  </si>
  <si>
    <t>GitHub製品_新規　一式</t>
  </si>
  <si>
    <t>yyyy年 mm月末請求、yyyy年 mm月末支払</t>
  </si>
  <si>
    <t>※ 製品の内訳内容は見積書（見積書番号：202512-10-2165640）を参照のこと</t>
  </si>
  <si>
    <t>※ 請求金額は、毎月固定費に加え、従量費を加算して請求いたします</t>
  </si>
  <si>
    <t>基盤・運用サービス</t>
  </si>
  <si>
    <t>按分月数</t>
  </si>
  <si>
    <t>按分月額</t>
  </si>
  <si>
    <t>　yyyy年 mm月から月額 ¥1,000,000 毎月末請求、翌月末支払</t>
  </si>
  <si>
    <t>検収開始</t>
  </si>
  <si>
    <t>検収終了</t>
  </si>
  <si>
    <t>〇〇システム間発</t>
  </si>
  <si>
    <t>納品予定日：xxxx年 ｘｘ月 xx日</t>
  </si>
  <si>
    <t>利用規約（「ENTERPRISE SOFTWARE LICENSE AGREEMENT」）にかかわらず、お客様は、ＮＲＩに対し契約期間中の途中解約時においてNRIに一括で支払った利用料金（サブスクリプションライセンスおよびサポートサービス料）の返還を請求することはできません。</t>
  </si>
  <si>
    <t>追加規約として、「Onetrust Product Usage Terms※ 」 が本申込書に組み込まれることとします。
※https://www.onetrust.com/legal/onetrust-product-usage-terms.pdf
上記追加規約に従い、Average Daily Usersがご注文の数量を超えることとなった場合、当該超過した分については別途契約（単価は精算時点の為替レートで算出）することとします。</t>
  </si>
  <si>
    <t>・上記金額は、ライセンス価格にNRI技術サポート費用（ライセンス価格の20%）を加算した金額です
　従量費についても同様にNRI技術サポート費用を加算します
・支払条件は、利用月翌月末に固定費と従量費を合算して請求し、利用翌々月末日支払とします
・マイクロソフトのライセンス価格については、次のURLにある「Azureの価格」を参照ください（　https://azure.microsoft.com/ja-jp/pricing/　）
・最低利用ユーザー数は、注１ユーザ数欄の記載ユーザ数で固定費扱いとなります
　そのユーザ数を超えた利用料金、並びにその他オプション品につきましては毎月の従量課金とします
・本書の有効期間満了の2ヶ月前までにお客様又はNRIの何れからの書面による解約の意思表示または契約内容の変更がない限り、有効期間は更に1年間自動的に延長されるものとし、その後も同様とします</t>
  </si>
  <si>
    <t>AWS Marketplaceを通じて本契約に係る製品又はサービスの購入手続きを行う場合、別途【AWSマーケットプレイス特約条項】が適用されるものとします。</t>
  </si>
  <si>
    <t>本書の有効期間満了の2ヶ月前までにお客様又はNRIの何れからの書面による解約の意思表示または契約内容の変更がない限り、有効期間は更に1年間自動的に延長されるものとし、その後も同様とします。</t>
  </si>
  <si>
    <t>※ユーザー数は、NOTION LABS, INC.所定の方法により3ヶ月に1度の割合で測定されるものとし、当該測定の結果、本申込書記載のユーザ数を超える使用があると認められた場合、
 当該超過分について別途契約（期間は残期間分の日割りとし、単価は精算時点の為替レートで算出）することとします。
※NOTION LABS, INC.は、本契約の第三受益者（イングランドおよびウェールズ法における”Third Party Beneficially”を意味する）であることを確認します。</t>
  </si>
  <si>
    <t>クレジット数およびユーザーシート数を超えて利用された場合、当該超過分については別途契約となります。
・クレジット（200,000ステップ）
　50単位あたり1.2USDの単価で、超過月の為替相場にて日本円に換算して請求します。
・ユーザーシート（5シート）
　1シート1か月あたり16USDの単価で、上限追加当月分を含むご契約残月数分について、シート追加当月の為替相場にて日本円に換算して請求します。
※なお、クレジットおよびユーザーシートの単価は変動する可能性があります。</t>
  </si>
  <si>
    <t>本取引において提供されるサービスは、RealtimeBoard, Inc.からお客様に直接提供されるものであり、株式会社野村総合研究所は当該サービスに関して、お客様に対して請求原因の如何を問わず責任を負わず、当該サービスに関連する請求等はお客様からRealtimeBoard, Inc.に対して直接実施されるものとします。</t>
  </si>
  <si>
    <t>申込みの際は、本申込書に加え別途「申込書補足情報」のご提出をお願いいたします</t>
  </si>
  <si>
    <t>＜Atlassian製品内訳＞
・Cloud サイト名：
・
・</t>
  </si>
  <si>
    <t>＜シーメンス社のソフトウェアをご使用になるお客様へ＞
・本申込み後、シーメンス社からご担当者に案内メールが届きます
・メール本文に記載の同社Easy（Electronic Agreement System）サイトにアクセスして頂き、次のライセンス条件にオンラインで合意し署名していただきます
　「ユニバーサルカスタマー契約（UCA）」https://www.siemens.com/sw-terms/uca
　「補足条項（MDX）」https://www.siemens.com/sw-terms/supplements</t>
  </si>
  <si>
    <t>202X年XX月XX日付け二次販売代理店基本契約書、別紙１）に従い、当社は本製品が「サービス利用規約に基づいて提供されること」を了承する旨を
記載した書面を顧客より受領し、当該書面の写しをNRIに提出するものとします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</si>
</sst>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quot;¥&quot;#,##0_W"/>
    <numFmt numFmtId="177" formatCode="yyyy&quot;年&quot;m&quot;月&quot;d&quot;日&quot;;@"/>
    <numFmt numFmtId="178" formatCode="0000"/>
    <numFmt numFmtId="179" formatCode="yyyy/mm/dd"/>
    <numFmt numFmtId="180" formatCode="&quot;¥&quot;#,##0_s"/>
    <numFmt numFmtId="181" formatCode="General;;"/>
  </numFmts>
  <fonts count="64" x14ac:knownFonts="1">
    <font>
      <sz val="11"/>
      <color theme="1"/>
      <name val="ＭＳ 明朝"/>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6"/>
      <name val="ＭＳ 明朝"/>
      <family val="2"/>
      <charset val="128"/>
    </font>
    <font>
      <sz val="9"/>
      <color theme="1"/>
      <name val="ＭＳ Ｐゴシック"/>
      <family val="3"/>
      <charset val="128"/>
    </font>
    <font>
      <sz val="10"/>
      <color theme="1"/>
      <name val="ＭＳ Ｐゴシック"/>
      <family val="3"/>
      <charset val="128"/>
    </font>
    <font>
      <sz val="11"/>
      <color theme="1"/>
      <name val="ＭＳ Ｐゴシック"/>
      <family val="3"/>
      <charset val="128"/>
    </font>
    <font>
      <u/>
      <sz val="11"/>
      <color theme="1"/>
      <name val="ＭＳ Ｐゴシック"/>
      <family val="3"/>
      <charset val="128"/>
    </font>
    <font>
      <sz val="8"/>
      <color theme="1"/>
      <name val="ＭＳ Ｐゴシック"/>
      <family val="3"/>
      <charset val="128"/>
      <scheme val="minor"/>
    </font>
    <font>
      <sz val="8"/>
      <color theme="1"/>
      <name val="ＭＳ Ｐゴシック"/>
      <family val="3"/>
      <charset val="128"/>
    </font>
    <font>
      <sz val="9"/>
      <color rgb="FFFF0000"/>
      <name val="ＭＳ Ｐゴシック"/>
      <family val="3"/>
      <charset val="128"/>
      <scheme val="minor"/>
    </font>
    <font>
      <u/>
      <sz val="10"/>
      <color theme="1"/>
      <name val="ＭＳ Ｐゴシック"/>
      <family val="3"/>
      <charset val="128"/>
    </font>
    <font>
      <sz val="11"/>
      <color theme="1"/>
      <name val="ＭＳ 明朝"/>
      <family val="2"/>
      <charset val="128"/>
    </font>
    <font>
      <sz val="11"/>
      <name val="ＭＳ Ｐゴシック"/>
      <family val="3"/>
      <charset val="128"/>
    </font>
    <font>
      <sz val="10"/>
      <name val="ＭＳ Ｐゴシック"/>
      <family val="3"/>
      <charset val="128"/>
    </font>
    <font>
      <sz val="12"/>
      <color theme="1"/>
      <name val="ＭＳ Ｐゴシック"/>
      <family val="3"/>
      <charset val="128"/>
    </font>
    <font>
      <u/>
      <sz val="11"/>
      <color theme="10"/>
      <name val="ＭＳ 明朝"/>
      <family val="2"/>
      <charset val="128"/>
    </font>
    <font>
      <sz val="7"/>
      <name val="ＭＳ Ｐゴシック"/>
      <family val="3"/>
      <charset val="128"/>
      <scheme val="minor"/>
    </font>
    <font>
      <sz val="11"/>
      <name val="ＭＳ Ｐゴシック"/>
      <family val="3"/>
      <charset val="128"/>
      <scheme val="minor"/>
    </font>
    <font>
      <sz val="10"/>
      <color theme="1"/>
      <name val="ＭＳ ゴシック"/>
      <family val="3"/>
      <charset val="128"/>
    </font>
    <font>
      <u/>
      <sz val="9"/>
      <color theme="10"/>
      <name val="ＭＳ 明朝"/>
      <family val="1"/>
      <charset val="128"/>
    </font>
    <font>
      <sz val="10"/>
      <name val="ＭＳ Ｐゴシック"/>
      <family val="3"/>
      <charset val="128"/>
      <scheme val="minor"/>
    </font>
    <font>
      <b/>
      <sz val="11"/>
      <color theme="1"/>
      <name val="ＭＳ Ｐゴシック"/>
      <family val="3"/>
      <charset val="128"/>
    </font>
    <font>
      <sz val="16"/>
      <color theme="1"/>
      <name val="ＭＳ Ｐゴシック"/>
      <family val="3"/>
      <charset val="128"/>
    </font>
    <font>
      <sz val="11"/>
      <color theme="1"/>
      <name val="ＭＳ ゴシック"/>
      <family val="3"/>
      <charset val="128"/>
    </font>
    <font>
      <sz val="14"/>
      <name val="ＭＳ Ｐゴシック"/>
      <family val="3"/>
      <charset val="128"/>
      <scheme val="minor"/>
    </font>
    <font>
      <sz val="9"/>
      <name val="ＭＳ Ｐゴシック"/>
      <family val="3"/>
      <charset val="128"/>
    </font>
    <font>
      <sz val="12"/>
      <name val="ＭＳ Ｐゴシック"/>
      <family val="3"/>
      <charset val="128"/>
    </font>
    <font>
      <sz val="11"/>
      <color theme="0" tint="-0.34998626667073579"/>
      <name val="ＭＳ Ｐゴシック"/>
      <family val="3"/>
      <charset val="128"/>
    </font>
    <font>
      <u/>
      <sz val="22"/>
      <name val="HGP創英角ｺﾞｼｯｸUB"/>
      <family val="3"/>
      <charset val="128"/>
    </font>
    <font>
      <sz val="8"/>
      <name val="ＭＳ Ｐゴシック"/>
      <family val="3"/>
      <charset val="128"/>
      <scheme val="minor"/>
    </font>
    <font>
      <sz val="9"/>
      <color theme="1"/>
      <name val="ＭＳ Ｐ明朝"/>
      <family val="1"/>
      <charset val="128"/>
    </font>
    <font>
      <sz val="11"/>
      <color theme="1"/>
      <name val="ＭＳ Ｐ明朝"/>
      <family val="1"/>
      <charset val="128"/>
    </font>
    <font>
      <sz val="10"/>
      <color theme="1"/>
      <name val="ＭＳ Ｐ明朝"/>
      <family val="1"/>
      <charset val="128"/>
    </font>
    <font>
      <sz val="11"/>
      <name val="ＭＳ Ｐ明朝"/>
      <family val="1"/>
      <charset val="128"/>
    </font>
    <font>
      <sz val="10"/>
      <name val="ＭＳ Ｐ明朝"/>
      <family val="1"/>
      <charset val="128"/>
    </font>
    <font>
      <sz val="9"/>
      <name val="ＭＳ Ｐ明朝"/>
      <family val="1"/>
      <charset val="128"/>
    </font>
    <font>
      <sz val="6"/>
      <name val="ＭＳ Ｐ明朝"/>
      <family val="1"/>
      <charset val="128"/>
    </font>
    <font>
      <sz val="8"/>
      <color theme="1"/>
      <name val="ＭＳ Ｐ明朝"/>
      <family val="1"/>
      <charset val="128"/>
    </font>
    <font>
      <b/>
      <sz val="10"/>
      <name val="ＭＳ Ｐ明朝"/>
      <family val="1"/>
      <charset val="128"/>
    </font>
    <font>
      <b/>
      <sz val="12"/>
      <name val="ＭＳ Ｐ明朝"/>
      <family val="1"/>
      <charset val="128"/>
    </font>
    <font>
      <sz val="12"/>
      <color theme="1"/>
      <name val="ＭＳ Ｐ明朝"/>
      <family val="1"/>
      <charset val="128"/>
    </font>
    <font>
      <sz val="6"/>
      <color theme="0" tint="-0.34998626667073579"/>
      <name val="ＭＳ Ｐゴシック"/>
      <family val="3"/>
      <charset val="128"/>
    </font>
    <font>
      <sz val="9"/>
      <color theme="0" tint="-0.34998626667073579"/>
      <name val="ＭＳ Ｐゴシック"/>
      <family val="3"/>
      <charset val="128"/>
    </font>
    <font>
      <sz val="11"/>
      <color theme="1"/>
      <name val="ＭＳ 明朝"/>
      <family val="1"/>
      <charset val="128"/>
    </font>
    <font>
      <sz val="10"/>
      <color theme="0" tint="-0.34998626667073579"/>
      <name val="ＭＳ Ｐゴシック"/>
      <family val="3"/>
      <charset val="128"/>
    </font>
    <font>
      <sz val="11"/>
      <color theme="0" tint="-0.34998626667073579"/>
      <name val="ＭＳ Ｐ明朝"/>
      <family val="1"/>
      <charset val="128"/>
    </font>
    <font>
      <sz val="12"/>
      <color theme="0" tint="-0.34998626667073579"/>
      <name val="ＭＳ Ｐゴシック"/>
      <family val="3"/>
      <charset val="128"/>
    </font>
    <font>
      <sz val="9"/>
      <color theme="0" tint="-0.34998626667073579"/>
      <name val="ＭＳ Ｐゴシック"/>
      <family val="3"/>
      <charset val="128"/>
      <scheme val="minor"/>
    </font>
    <font>
      <sz val="9"/>
      <color theme="0" tint="-0.34998626667073579"/>
      <name val="ＭＳ Ｐ明朝"/>
      <family val="1"/>
      <charset val="128"/>
    </font>
    <font>
      <sz val="9"/>
      <color theme="1"/>
      <name val="ＭＳ ゴシック"/>
      <family val="3"/>
      <charset val="128"/>
    </font>
    <font>
      <sz val="9"/>
      <color indexed="81"/>
      <name val="ＭＳ Ｐゴシック"/>
      <family val="3"/>
      <charset val="128"/>
    </font>
    <font>
      <sz val="1"/>
      <color theme="0" tint="-0.34998626667073579"/>
      <name val="ＭＳ Ｐゴシック"/>
      <family val="3"/>
      <charset val="128"/>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E5"/>
        <bgColor indexed="64"/>
      </patternFill>
    </fill>
    <fill>
      <patternFill patternType="solid">
        <fgColor theme="0" tint="-0.499984740745262"/>
        <bgColor indexed="64"/>
      </patternFill>
    </fill>
    <fill>
      <patternFill patternType="solid">
        <fgColor rgb="FFFFCCCC"/>
        <bgColor indexed="64"/>
      </patternFill>
    </fill>
    <fill>
      <patternFill patternType="solid">
        <fgColor theme="4" tint="0.59999389629810485"/>
        <bgColor indexed="64"/>
      </patternFill>
    </fill>
    <fill>
      <patternFill patternType="solid">
        <fgColor theme="4" tint="0.59996337778862885"/>
        <bgColor indexed="64"/>
      </patternFill>
    </fill>
  </fills>
  <borders count="71">
    <border>
      <left/>
      <right/>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auto="1"/>
      </top>
      <bottom/>
      <diagonal/>
    </border>
    <border>
      <left/>
      <right/>
      <top/>
      <bottom style="thin">
        <color auto="1"/>
      </bottom>
      <diagonal/>
    </border>
    <border>
      <left/>
      <right/>
      <top style="thin">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medium">
        <color indexed="64"/>
      </left>
      <right style="dotted">
        <color indexed="64"/>
      </right>
      <top/>
      <bottom/>
      <diagonal/>
    </border>
    <border>
      <left style="dotted">
        <color indexed="64"/>
      </left>
      <right style="dotted">
        <color indexed="64"/>
      </right>
      <top/>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top style="medium">
        <color indexed="64"/>
      </top>
      <bottom/>
      <diagonal/>
    </border>
    <border>
      <left style="dotted">
        <color indexed="64"/>
      </left>
      <right/>
      <top/>
      <bottom/>
      <diagonal/>
    </border>
    <border>
      <left style="dotted">
        <color indexed="64"/>
      </left>
      <right/>
      <top/>
      <bottom style="medium">
        <color indexed="64"/>
      </bottom>
      <diagonal/>
    </border>
    <border>
      <left style="dotted">
        <color indexed="64"/>
      </left>
      <right style="dotted">
        <color indexed="64"/>
      </right>
      <top style="thin">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thin">
        <color indexed="64"/>
      </bottom>
      <diagonal/>
    </border>
    <border>
      <left/>
      <right/>
      <top style="hair">
        <color indexed="64"/>
      </top>
      <bottom style="thin">
        <color indexed="64"/>
      </bottom>
      <diagonal/>
    </border>
    <border>
      <left style="hair">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tted">
        <color indexed="64"/>
      </right>
      <top style="hair">
        <color indexed="64"/>
      </top>
      <bottom style="thin">
        <color indexed="64"/>
      </bottom>
      <diagonal/>
    </border>
    <border>
      <left style="dotted">
        <color indexed="64"/>
      </left>
      <right style="hair">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s>
  <cellStyleXfs count="62">
    <xf numFmtId="0" fontId="0" fillId="0" borderId="0">
      <alignment vertical="center"/>
    </xf>
    <xf numFmtId="0" fontId="10" fillId="0" borderId="0">
      <alignment vertical="center"/>
    </xf>
    <xf numFmtId="38" fontId="10" fillId="0" borderId="0" applyFont="0" applyFill="0" applyBorder="0" applyAlignment="0" applyProtection="0">
      <alignment vertical="center"/>
    </xf>
    <xf numFmtId="0" fontId="9" fillId="0" borderId="0">
      <alignment vertical="center"/>
    </xf>
    <xf numFmtId="0" fontId="8" fillId="0" borderId="0">
      <alignment vertical="center"/>
    </xf>
    <xf numFmtId="0" fontId="8" fillId="0" borderId="0">
      <alignment vertical="center"/>
    </xf>
    <xf numFmtId="38" fontId="23" fillId="0" borderId="0" applyFont="0" applyFill="0" applyBorder="0" applyAlignment="0" applyProtection="0">
      <alignment vertical="center"/>
    </xf>
    <xf numFmtId="0" fontId="24" fillId="0" borderId="0"/>
    <xf numFmtId="38" fontId="24" fillId="0" borderId="0" applyFont="0" applyFill="0" applyBorder="0" applyAlignment="0" applyProtection="0"/>
    <xf numFmtId="0" fontId="7" fillId="0" borderId="0">
      <alignment vertical="center"/>
    </xf>
    <xf numFmtId="0" fontId="7" fillId="0" borderId="0">
      <alignment vertical="center"/>
    </xf>
    <xf numFmtId="0" fontId="27" fillId="0" borderId="0" applyNumberFormat="0" applyFill="0" applyBorder="0" applyAlignment="0" applyProtection="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360">
    <xf numFmtId="0" fontId="0" fillId="0" borderId="0" xfId="0">
      <alignment vertical="center"/>
    </xf>
    <xf numFmtId="0" fontId="17" fillId="0" borderId="0" xfId="0" applyFont="1" applyProtection="1">
      <alignment vertical="center"/>
      <protection hidden="1"/>
    </xf>
    <xf numFmtId="0" fontId="16" fillId="0" borderId="0" xfId="0" applyFont="1" applyProtection="1">
      <alignment vertical="center"/>
      <protection hidden="1"/>
    </xf>
    <xf numFmtId="0" fontId="18" fillId="0" borderId="0" xfId="14" applyFont="1" applyAlignment="1" applyProtection="1">
      <alignment horizontal="center" vertical="center"/>
      <protection hidden="1"/>
    </xf>
    <xf numFmtId="0" fontId="18" fillId="0" borderId="0" xfId="1" applyFont="1" applyAlignment="1" applyProtection="1">
      <alignment horizontal="center" vertical="center"/>
      <protection hidden="1"/>
    </xf>
    <xf numFmtId="0" fontId="0" fillId="0" borderId="0" xfId="0" applyProtection="1">
      <alignment vertical="center"/>
      <protection hidden="1"/>
    </xf>
    <xf numFmtId="0" fontId="17" fillId="3" borderId="0" xfId="0" applyFont="1" applyFill="1" applyProtection="1">
      <alignment vertical="center"/>
      <protection hidden="1"/>
    </xf>
    <xf numFmtId="0" fontId="16" fillId="0" borderId="0" xfId="0" applyFont="1" applyAlignment="1" applyProtection="1">
      <alignment vertical="top"/>
      <protection hidden="1"/>
    </xf>
    <xf numFmtId="0" fontId="16" fillId="0" borderId="0" xfId="0" applyFont="1" applyAlignment="1" applyProtection="1">
      <alignment horizontal="left" vertical="top" wrapText="1"/>
      <protection hidden="1"/>
    </xf>
    <xf numFmtId="0" fontId="22" fillId="0" borderId="0" xfId="1" applyFont="1" applyAlignment="1" applyProtection="1">
      <alignment horizontal="center" vertical="center"/>
      <protection hidden="1"/>
    </xf>
    <xf numFmtId="0" fontId="16" fillId="3" borderId="0" xfId="1" applyFont="1" applyFill="1" applyAlignment="1" applyProtection="1">
      <alignment horizontal="center" vertical="center"/>
      <protection hidden="1"/>
    </xf>
    <xf numFmtId="0" fontId="16" fillId="0" borderId="0" xfId="1" applyFont="1" applyAlignment="1" applyProtection="1">
      <alignment horizontal="left" vertical="center"/>
      <protection hidden="1"/>
    </xf>
    <xf numFmtId="0" fontId="16" fillId="0" borderId="0" xfId="1" applyFont="1" applyAlignment="1" applyProtection="1">
      <alignment horizontal="center" vertical="center"/>
      <protection hidden="1"/>
    </xf>
    <xf numFmtId="0" fontId="15" fillId="0" borderId="0" xfId="1" applyFont="1" applyAlignment="1" applyProtection="1">
      <alignment horizontal="left" vertical="center" indent="1"/>
      <protection hidden="1"/>
    </xf>
    <xf numFmtId="0" fontId="15" fillId="0" borderId="0" xfId="0" applyFont="1" applyProtection="1">
      <alignment vertical="center"/>
      <protection hidden="1"/>
    </xf>
    <xf numFmtId="0" fontId="15" fillId="0" borderId="0" xfId="1" applyFont="1" applyProtection="1">
      <alignment vertical="center"/>
      <protection hidden="1"/>
    </xf>
    <xf numFmtId="0" fontId="37" fillId="0" borderId="0" xfId="1" applyFont="1" applyAlignment="1" applyProtection="1">
      <alignment horizontal="center" vertical="center"/>
      <protection hidden="1"/>
    </xf>
    <xf numFmtId="0" fontId="37" fillId="0" borderId="0" xfId="1" applyFont="1" applyAlignment="1" applyProtection="1">
      <alignment horizontal="left" vertical="top" indent="1"/>
      <protection hidden="1"/>
    </xf>
    <xf numFmtId="0" fontId="37" fillId="0" borderId="0" xfId="1" applyFont="1" applyAlignment="1" applyProtection="1">
      <alignment horizontal="left" vertical="center" indent="1"/>
      <protection hidden="1"/>
    </xf>
    <xf numFmtId="0" fontId="37" fillId="0" borderId="0" xfId="0" applyFont="1" applyProtection="1">
      <alignment vertical="center"/>
      <protection hidden="1"/>
    </xf>
    <xf numFmtId="0" fontId="37" fillId="0" borderId="0" xfId="1" applyFont="1" applyProtection="1">
      <alignment vertical="center"/>
      <protection hidden="1"/>
    </xf>
    <xf numFmtId="0" fontId="13" fillId="0" borderId="0" xfId="3" applyFont="1" applyProtection="1">
      <alignment vertical="center"/>
      <protection hidden="1"/>
    </xf>
    <xf numFmtId="0" fontId="13" fillId="0" borderId="0" xfId="3" applyFont="1" applyAlignment="1" applyProtection="1">
      <alignment horizontal="center" vertical="center"/>
      <protection hidden="1"/>
    </xf>
    <xf numFmtId="0" fontId="12" fillId="0" borderId="0" xfId="0" applyFont="1" applyProtection="1">
      <alignment vertical="center"/>
      <protection hidden="1"/>
    </xf>
    <xf numFmtId="0" fontId="19" fillId="0" borderId="0" xfId="3" applyFont="1" applyProtection="1">
      <alignment vertical="center"/>
      <protection hidden="1"/>
    </xf>
    <xf numFmtId="0" fontId="19" fillId="0" borderId="0" xfId="1" applyFont="1" applyProtection="1">
      <alignment vertical="center"/>
      <protection hidden="1"/>
    </xf>
    <xf numFmtId="0" fontId="12" fillId="0" borderId="0" xfId="1" applyFont="1" applyProtection="1">
      <alignment vertical="center"/>
      <protection hidden="1"/>
    </xf>
    <xf numFmtId="0" fontId="17" fillId="0" borderId="1" xfId="1" applyFont="1" applyBorder="1" applyAlignment="1" applyProtection="1">
      <alignment horizontal="left" vertical="center"/>
      <protection hidden="1"/>
    </xf>
    <xf numFmtId="0" fontId="15" fillId="0" borderId="1" xfId="1" applyFont="1" applyBorder="1" applyProtection="1">
      <alignment vertical="center"/>
      <protection hidden="1"/>
    </xf>
    <xf numFmtId="0" fontId="15" fillId="0" borderId="18" xfId="0" applyFont="1" applyBorder="1" applyProtection="1">
      <alignment vertical="center"/>
      <protection hidden="1"/>
    </xf>
    <xf numFmtId="0" fontId="31" fillId="0" borderId="0" xfId="11" applyFont="1" applyFill="1" applyBorder="1" applyAlignment="1" applyProtection="1">
      <alignment horizontal="left" vertical="center"/>
      <protection hidden="1"/>
    </xf>
    <xf numFmtId="0" fontId="15" fillId="0" borderId="19" xfId="1" applyFont="1" applyBorder="1" applyProtection="1">
      <alignment vertical="center"/>
      <protection hidden="1"/>
    </xf>
    <xf numFmtId="0" fontId="15" fillId="0" borderId="2" xfId="1" applyFont="1" applyBorder="1" applyAlignment="1" applyProtection="1">
      <alignment horizontal="left" vertical="center" indent="1"/>
      <protection hidden="1"/>
    </xf>
    <xf numFmtId="0" fontId="15" fillId="0" borderId="2" xfId="0" applyFont="1" applyBorder="1" applyProtection="1">
      <alignment vertical="center"/>
      <protection hidden="1"/>
    </xf>
    <xf numFmtId="0" fontId="15" fillId="0" borderId="0" xfId="1" applyFont="1" applyAlignment="1" applyProtection="1">
      <alignment horizontal="left" vertical="center"/>
      <protection hidden="1"/>
    </xf>
    <xf numFmtId="0" fontId="24" fillId="0" borderId="0" xfId="0" applyFont="1" applyProtection="1">
      <alignment vertical="center"/>
      <protection hidden="1"/>
    </xf>
    <xf numFmtId="0" fontId="15" fillId="0" borderId="0" xfId="1" applyFont="1" applyAlignment="1" applyProtection="1">
      <alignment horizontal="center" vertical="center"/>
      <protection hidden="1"/>
    </xf>
    <xf numFmtId="0" fontId="16" fillId="0" borderId="0" xfId="0" applyFont="1" applyAlignment="1" applyProtection="1">
      <alignment horizontal="left" vertical="top"/>
      <protection hidden="1"/>
    </xf>
    <xf numFmtId="0" fontId="37" fillId="0" borderId="1" xfId="11" applyFont="1" applyFill="1" applyBorder="1" applyAlignment="1" applyProtection="1">
      <alignment vertical="center"/>
      <protection hidden="1"/>
    </xf>
    <xf numFmtId="0" fontId="37" fillId="0" borderId="0" xfId="11" applyFont="1" applyFill="1" applyBorder="1" applyAlignment="1" applyProtection="1">
      <alignment vertical="center"/>
      <protection hidden="1"/>
    </xf>
    <xf numFmtId="0" fontId="15" fillId="0" borderId="1" xfId="1" applyFont="1" applyBorder="1" applyAlignment="1" applyProtection="1">
      <alignment horizontal="left"/>
      <protection hidden="1"/>
    </xf>
    <xf numFmtId="0" fontId="15" fillId="0" borderId="0" xfId="1" applyFont="1" applyAlignment="1" applyProtection="1">
      <alignment horizontal="left"/>
      <protection hidden="1"/>
    </xf>
    <xf numFmtId="0" fontId="15" fillId="0" borderId="19" xfId="0" applyFont="1" applyBorder="1" applyProtection="1">
      <alignment vertical="center"/>
      <protection hidden="1"/>
    </xf>
    <xf numFmtId="0" fontId="15" fillId="5" borderId="0" xfId="1" applyFont="1" applyFill="1" applyAlignment="1" applyProtection="1">
      <alignment horizontal="left" vertical="center" indent="1"/>
      <protection hidden="1"/>
    </xf>
    <xf numFmtId="0" fontId="15" fillId="5" borderId="0" xfId="1" applyFont="1" applyFill="1" applyAlignment="1" applyProtection="1">
      <alignment vertical="top"/>
      <protection hidden="1"/>
    </xf>
    <xf numFmtId="0" fontId="15" fillId="5" borderId="19" xfId="0" applyFont="1" applyFill="1" applyBorder="1" applyProtection="1">
      <alignment vertical="center"/>
      <protection hidden="1"/>
    </xf>
    <xf numFmtId="0" fontId="21" fillId="0" borderId="0" xfId="1" applyFont="1" applyProtection="1">
      <alignment vertical="center"/>
      <protection hidden="1"/>
    </xf>
    <xf numFmtId="0" fontId="21" fillId="0" borderId="0" xfId="0" applyFont="1" applyProtection="1">
      <alignment vertical="center"/>
      <protection hidden="1"/>
    </xf>
    <xf numFmtId="0" fontId="25" fillId="0" borderId="0" xfId="0" applyFont="1" applyAlignment="1" applyProtection="1">
      <alignment vertical="top" wrapText="1"/>
      <protection hidden="1"/>
    </xf>
    <xf numFmtId="0" fontId="12" fillId="0" borderId="0" xfId="1" applyFont="1" applyAlignment="1" applyProtection="1">
      <alignment vertical="center" wrapText="1"/>
      <protection hidden="1"/>
    </xf>
    <xf numFmtId="0" fontId="25" fillId="0" borderId="46" xfId="0" applyFont="1" applyBorder="1" applyAlignment="1" applyProtection="1">
      <alignment horizontal="center" vertical="center"/>
      <protection hidden="1"/>
    </xf>
    <xf numFmtId="0" fontId="28" fillId="0" borderId="0" xfId="1" applyFont="1" applyAlignment="1" applyProtection="1">
      <alignment horizontal="left" vertical="top" wrapText="1"/>
      <protection hidden="1"/>
    </xf>
    <xf numFmtId="0" fontId="16" fillId="4" borderId="19" xfId="14" applyFont="1" applyFill="1" applyBorder="1" applyAlignment="1" applyProtection="1">
      <alignment vertical="center" shrinkToFit="1"/>
      <protection hidden="1"/>
    </xf>
    <xf numFmtId="0" fontId="16" fillId="4" borderId="19" xfId="1" applyFont="1" applyFill="1" applyBorder="1" applyAlignment="1" applyProtection="1">
      <alignment vertical="center" shrinkToFit="1"/>
      <protection hidden="1"/>
    </xf>
    <xf numFmtId="0" fontId="35" fillId="4" borderId="19" xfId="1" applyFont="1" applyFill="1" applyBorder="1" applyAlignment="1" applyProtection="1">
      <alignment vertical="center" shrinkToFit="1"/>
      <protection hidden="1"/>
    </xf>
    <xf numFmtId="0" fontId="34" fillId="0" borderId="0" xfId="1" applyFont="1" applyAlignment="1" applyProtection="1">
      <alignment vertical="center" shrinkToFit="1"/>
      <protection hidden="1"/>
    </xf>
    <xf numFmtId="0" fontId="20" fillId="0" borderId="0" xfId="1" applyFont="1" applyAlignment="1" applyProtection="1">
      <alignment horizontal="left" vertical="center" shrinkToFit="1"/>
      <protection hidden="1"/>
    </xf>
    <xf numFmtId="0" fontId="30" fillId="0" borderId="0" xfId="1" applyFont="1" applyAlignment="1" applyProtection="1">
      <alignment vertical="center" shrinkToFit="1"/>
      <protection hidden="1"/>
    </xf>
    <xf numFmtId="0" fontId="37" fillId="0" borderId="0" xfId="11" applyFont="1" applyFill="1" applyBorder="1" applyProtection="1">
      <alignment vertical="center"/>
      <protection hidden="1"/>
    </xf>
    <xf numFmtId="0" fontId="15" fillId="5" borderId="0" xfId="1" applyFont="1" applyFill="1" applyAlignment="1" applyProtection="1">
      <alignment horizontal="left" vertical="center"/>
      <protection hidden="1"/>
    </xf>
    <xf numFmtId="0" fontId="17" fillId="5" borderId="0" xfId="0" applyFont="1" applyFill="1" applyProtection="1">
      <alignment vertical="center"/>
      <protection hidden="1"/>
    </xf>
    <xf numFmtId="0" fontId="15" fillId="5" borderId="0" xfId="0" applyFont="1" applyFill="1" applyProtection="1">
      <alignment vertical="center"/>
      <protection hidden="1"/>
    </xf>
    <xf numFmtId="0" fontId="37" fillId="5" borderId="0" xfId="11" applyFont="1" applyFill="1" applyBorder="1" applyProtection="1">
      <alignment vertical="center"/>
      <protection hidden="1"/>
    </xf>
    <xf numFmtId="0" fontId="17" fillId="0" borderId="2" xfId="0" applyFont="1" applyBorder="1" applyProtection="1">
      <alignment vertical="center"/>
      <protection hidden="1"/>
    </xf>
    <xf numFmtId="0" fontId="37" fillId="0" borderId="2" xfId="11" applyFont="1" applyFill="1" applyBorder="1" applyProtection="1">
      <alignment vertical="center"/>
      <protection hidden="1"/>
    </xf>
    <xf numFmtId="0" fontId="15" fillId="0" borderId="3" xfId="0" applyFont="1" applyBorder="1" applyProtection="1">
      <alignment vertical="center"/>
      <protection hidden="1"/>
    </xf>
    <xf numFmtId="179" fontId="25" fillId="0" borderId="23" xfId="0" applyNumberFormat="1" applyFont="1" applyBorder="1" applyAlignment="1" applyProtection="1">
      <alignment horizontal="center" vertical="center"/>
      <protection hidden="1"/>
    </xf>
    <xf numFmtId="0" fontId="25" fillId="0" borderId="23" xfId="0" applyFont="1" applyBorder="1" applyAlignment="1" applyProtection="1">
      <alignment horizontal="center" vertical="center" shrinkToFit="1"/>
      <protection hidden="1"/>
    </xf>
    <xf numFmtId="0" fontId="25" fillId="0" borderId="31" xfId="0" applyFont="1" applyBorder="1" applyAlignment="1" applyProtection="1">
      <alignment horizontal="center" vertical="center"/>
      <protection hidden="1"/>
    </xf>
    <xf numFmtId="0" fontId="28" fillId="0" borderId="0" xfId="1" applyFont="1" applyAlignment="1" applyProtection="1">
      <alignment vertical="top" wrapText="1"/>
      <protection hidden="1"/>
    </xf>
    <xf numFmtId="0" fontId="44" fillId="2" borderId="0" xfId="1" applyFont="1" applyFill="1" applyProtection="1">
      <alignment vertical="center"/>
      <protection hidden="1"/>
    </xf>
    <xf numFmtId="0" fontId="44" fillId="2" borderId="6" xfId="1" applyFont="1" applyFill="1" applyBorder="1" applyProtection="1">
      <alignment vertical="center"/>
      <protection hidden="1"/>
    </xf>
    <xf numFmtId="0" fontId="26" fillId="2" borderId="1" xfId="1" applyFont="1" applyFill="1" applyBorder="1" applyProtection="1">
      <alignment vertical="center"/>
      <protection hidden="1"/>
    </xf>
    <xf numFmtId="0" fontId="26" fillId="2" borderId="10" xfId="1" applyFont="1" applyFill="1" applyBorder="1" applyProtection="1">
      <alignment vertical="center"/>
      <protection hidden="1"/>
    </xf>
    <xf numFmtId="0" fontId="26" fillId="4" borderId="18" xfId="1" applyFont="1" applyFill="1" applyBorder="1" applyAlignment="1" applyProtection="1">
      <alignment vertical="center" shrinkToFit="1"/>
      <protection hidden="1"/>
    </xf>
    <xf numFmtId="0" fontId="26" fillId="0" borderId="0" xfId="0" applyFont="1" applyProtection="1">
      <alignment vertical="center"/>
      <protection hidden="1"/>
    </xf>
    <xf numFmtId="0" fontId="16" fillId="2" borderId="2" xfId="1" applyFont="1" applyFill="1" applyBorder="1" applyProtection="1">
      <alignment vertical="center"/>
      <protection hidden="1"/>
    </xf>
    <xf numFmtId="0" fontId="16" fillId="2" borderId="13" xfId="1" applyFont="1" applyFill="1" applyBorder="1" applyProtection="1">
      <alignment vertical="center"/>
      <protection hidden="1"/>
    </xf>
    <xf numFmtId="0" fontId="16" fillId="4" borderId="3" xfId="1" applyFont="1" applyFill="1" applyBorder="1" applyAlignment="1" applyProtection="1">
      <alignment vertical="center" shrinkToFit="1"/>
      <protection hidden="1"/>
    </xf>
    <xf numFmtId="0" fontId="43" fillId="0" borderId="0" xfId="0" applyFont="1" applyProtection="1">
      <alignment vertical="center"/>
      <protection hidden="1"/>
    </xf>
    <xf numFmtId="0" fontId="47" fillId="0" borderId="0" xfId="0" applyFont="1" applyAlignment="1" applyProtection="1">
      <alignment horizontal="center" vertical="center"/>
      <protection hidden="1"/>
    </xf>
    <xf numFmtId="0" fontId="47" fillId="0" borderId="0" xfId="0" applyFont="1" applyAlignment="1" applyProtection="1">
      <alignment vertical="top"/>
      <protection hidden="1"/>
    </xf>
    <xf numFmtId="0" fontId="47" fillId="0" borderId="0" xfId="0" applyFont="1" applyAlignment="1" applyProtection="1">
      <alignment horizontal="left" vertical="top" wrapText="1"/>
      <protection hidden="1"/>
    </xf>
    <xf numFmtId="0" fontId="42" fillId="0" borderId="0" xfId="0" applyFont="1" applyProtection="1">
      <alignment vertical="center"/>
      <protection hidden="1"/>
    </xf>
    <xf numFmtId="0" fontId="25" fillId="0" borderId="11" xfId="0" applyFont="1" applyBorder="1" applyAlignment="1">
      <alignment vertical="center" wrapText="1"/>
    </xf>
    <xf numFmtId="0" fontId="25" fillId="0" borderId="5" xfId="0" applyFont="1" applyBorder="1" applyAlignment="1">
      <alignment vertical="center" wrapText="1"/>
    </xf>
    <xf numFmtId="0" fontId="15" fillId="0" borderId="11" xfId="0" applyFont="1" applyBorder="1">
      <alignment vertical="center"/>
    </xf>
    <xf numFmtId="0" fontId="25" fillId="2" borderId="58" xfId="0" applyFont="1" applyFill="1" applyBorder="1" applyAlignment="1" applyProtection="1">
      <alignment horizontal="center" vertical="center"/>
      <protection hidden="1"/>
    </xf>
    <xf numFmtId="0" fontId="32" fillId="7" borderId="63" xfId="1" applyFont="1" applyFill="1" applyBorder="1" applyAlignment="1" applyProtection="1">
      <alignment horizontal="center" vertical="center"/>
      <protection hidden="1"/>
    </xf>
    <xf numFmtId="0" fontId="25" fillId="2" borderId="17" xfId="0" applyFont="1" applyFill="1" applyBorder="1" applyAlignment="1" applyProtection="1">
      <alignment horizontal="center" vertical="center"/>
      <protection hidden="1"/>
    </xf>
    <xf numFmtId="0" fontId="25" fillId="2" borderId="63" xfId="0" applyFont="1" applyFill="1" applyBorder="1" applyAlignment="1" applyProtection="1">
      <alignment horizontal="center" vertical="center"/>
      <protection hidden="1"/>
    </xf>
    <xf numFmtId="0" fontId="25" fillId="2" borderId="59" xfId="0" applyFont="1" applyFill="1" applyBorder="1" applyAlignment="1" applyProtection="1">
      <alignment horizontal="center" vertical="center"/>
      <protection hidden="1"/>
    </xf>
    <xf numFmtId="0" fontId="32" fillId="7" borderId="58" xfId="1" applyFont="1" applyFill="1" applyBorder="1" applyAlignment="1" applyProtection="1">
      <alignment horizontal="center" vertical="center"/>
      <protection hidden="1"/>
    </xf>
    <xf numFmtId="0" fontId="25" fillId="0" borderId="23" xfId="0" applyFont="1" applyBorder="1" applyAlignment="1" applyProtection="1">
      <alignment horizontal="center" vertical="center"/>
      <protection hidden="1"/>
    </xf>
    <xf numFmtId="176" fontId="38" fillId="0" borderId="23" xfId="6" applyNumberFormat="1" applyFont="1" applyFill="1" applyBorder="1" applyAlignment="1" applyProtection="1">
      <alignment vertical="center"/>
      <protection hidden="1"/>
    </xf>
    <xf numFmtId="176" fontId="38" fillId="0" borderId="24" xfId="6" applyNumberFormat="1" applyFont="1" applyFill="1" applyBorder="1" applyAlignment="1" applyProtection="1">
      <alignment vertical="center"/>
      <protection hidden="1"/>
    </xf>
    <xf numFmtId="0" fontId="25" fillId="0" borderId="11" xfId="0" applyFont="1" applyBorder="1" applyAlignment="1">
      <alignment vertical="top" wrapText="1"/>
    </xf>
    <xf numFmtId="0" fontId="25" fillId="0" borderId="5" xfId="0" applyFont="1" applyBorder="1" applyAlignment="1">
      <alignment vertical="top" wrapText="1"/>
    </xf>
    <xf numFmtId="0" fontId="17" fillId="0" borderId="11" xfId="0" applyFont="1" applyBorder="1">
      <alignment vertical="center"/>
    </xf>
    <xf numFmtId="0" fontId="25" fillId="0" borderId="23" xfId="0" applyFont="1" applyBorder="1" applyAlignment="1" applyProtection="1">
      <alignment horizontal="left" vertical="center" wrapText="1"/>
      <protection hidden="1"/>
    </xf>
    <xf numFmtId="38" fontId="25" fillId="0" borderId="23" xfId="6" applyFont="1" applyFill="1" applyBorder="1" applyAlignment="1" applyProtection="1">
      <alignment horizontal="center" vertical="center"/>
      <protection hidden="1"/>
    </xf>
    <xf numFmtId="0" fontId="25" fillId="0" borderId="23" xfId="0" applyFont="1" applyBorder="1" applyProtection="1">
      <alignment vertical="center"/>
      <protection hidden="1"/>
    </xf>
    <xf numFmtId="176" fontId="25" fillId="0" borderId="23" xfId="6" applyNumberFormat="1" applyFont="1" applyFill="1" applyBorder="1" applyAlignment="1" applyProtection="1">
      <alignment vertical="center"/>
      <protection hidden="1"/>
    </xf>
    <xf numFmtId="0" fontId="25" fillId="0" borderId="17" xfId="0" applyFont="1" applyBorder="1" applyAlignment="1" applyProtection="1">
      <alignment horizontal="center" vertical="center"/>
      <protection hidden="1"/>
    </xf>
    <xf numFmtId="0" fontId="32" fillId="7" borderId="59" xfId="1" applyFont="1" applyFill="1" applyBorder="1" applyAlignment="1" applyProtection="1">
      <alignment horizontal="center" vertical="center"/>
      <protection hidden="1"/>
    </xf>
    <xf numFmtId="0" fontId="25" fillId="2" borderId="60" xfId="0" applyFont="1" applyFill="1" applyBorder="1" applyAlignment="1" applyProtection="1">
      <alignment horizontal="center" vertical="center"/>
      <protection hidden="1"/>
    </xf>
    <xf numFmtId="0" fontId="25" fillId="2" borderId="61" xfId="0" applyFont="1" applyFill="1" applyBorder="1" applyAlignment="1" applyProtection="1">
      <alignment horizontal="center" vertical="center"/>
      <protection hidden="1"/>
    </xf>
    <xf numFmtId="0" fontId="25" fillId="2" borderId="65" xfId="0" applyFont="1" applyFill="1" applyBorder="1" applyAlignment="1" applyProtection="1">
      <alignment horizontal="center" vertical="center"/>
      <protection hidden="1"/>
    </xf>
    <xf numFmtId="0" fontId="51" fillId="0" borderId="0" xfId="1" applyFont="1" applyProtection="1">
      <alignment vertical="center"/>
      <protection hidden="1"/>
    </xf>
    <xf numFmtId="0" fontId="41" fillId="0" borderId="0" xfId="1" applyFont="1" applyProtection="1">
      <alignment vertical="center"/>
      <protection hidden="1"/>
    </xf>
    <xf numFmtId="0" fontId="26" fillId="4" borderId="0" xfId="1" applyFont="1" applyFill="1" applyAlignment="1" applyProtection="1">
      <alignment horizontal="center" vertical="center"/>
      <protection locked="0"/>
    </xf>
    <xf numFmtId="0" fontId="26" fillId="5" borderId="0" xfId="1" applyFont="1" applyFill="1" applyAlignment="1" applyProtection="1">
      <alignment horizontal="center" vertical="center"/>
      <protection hidden="1"/>
    </xf>
    <xf numFmtId="0" fontId="44" fillId="2" borderId="1" xfId="1" applyFont="1" applyFill="1" applyBorder="1" applyProtection="1">
      <alignment vertical="center"/>
      <protection hidden="1"/>
    </xf>
    <xf numFmtId="0" fontId="52" fillId="2" borderId="1" xfId="1" applyFont="1" applyFill="1" applyBorder="1" applyProtection="1">
      <alignment vertical="center"/>
      <protection hidden="1"/>
    </xf>
    <xf numFmtId="0" fontId="44" fillId="2" borderId="2" xfId="1" applyFont="1" applyFill="1" applyBorder="1" applyProtection="1">
      <alignment vertical="center"/>
      <protection hidden="1"/>
    </xf>
    <xf numFmtId="0" fontId="28" fillId="0" borderId="0" xfId="1" applyFont="1" applyAlignment="1" applyProtection="1">
      <alignment horizontal="left" vertical="center"/>
      <protection hidden="1"/>
    </xf>
    <xf numFmtId="0" fontId="15" fillId="0" borderId="23" xfId="0" applyFont="1" applyBorder="1" applyAlignment="1" applyProtection="1">
      <alignment vertical="top" wrapText="1"/>
      <protection hidden="1"/>
    </xf>
    <xf numFmtId="0" fontId="15" fillId="0" borderId="23" xfId="0" applyFont="1" applyBorder="1" applyProtection="1">
      <alignment vertical="center"/>
      <protection hidden="1"/>
    </xf>
    <xf numFmtId="0" fontId="15" fillId="0" borderId="23" xfId="0" applyFont="1" applyBorder="1" applyAlignment="1" applyProtection="1">
      <alignment vertical="top"/>
      <protection hidden="1"/>
    </xf>
    <xf numFmtId="0" fontId="47" fillId="0" borderId="28" xfId="0" applyFont="1" applyBorder="1" applyAlignment="1" applyProtection="1">
      <alignment horizontal="center" vertical="center"/>
      <protection hidden="1"/>
    </xf>
    <xf numFmtId="0" fontId="47" fillId="0" borderId="28" xfId="0" applyFont="1" applyBorder="1" applyAlignment="1" applyProtection="1">
      <alignment horizontal="left" vertical="top" wrapText="1"/>
      <protection hidden="1"/>
    </xf>
    <xf numFmtId="0" fontId="49" fillId="0" borderId="28" xfId="0" applyFont="1" applyBorder="1" applyAlignment="1" applyProtection="1">
      <alignment horizontal="left" vertical="center"/>
      <protection hidden="1"/>
    </xf>
    <xf numFmtId="0" fontId="47" fillId="0" borderId="28" xfId="0" applyFont="1" applyBorder="1" applyAlignment="1" applyProtection="1">
      <alignment horizontal="left" vertical="center" wrapText="1"/>
      <protection hidden="1"/>
    </xf>
    <xf numFmtId="0" fontId="16" fillId="0" borderId="0" xfId="1" applyFont="1" applyProtection="1">
      <alignment vertical="center"/>
      <protection hidden="1"/>
    </xf>
    <xf numFmtId="0" fontId="17" fillId="0" borderId="0" xfId="1" applyFont="1" applyAlignment="1" applyProtection="1">
      <alignment horizontal="left" vertical="center"/>
      <protection hidden="1"/>
    </xf>
    <xf numFmtId="0" fontId="15" fillId="0" borderId="0" xfId="1" applyFont="1" applyAlignment="1" applyProtection="1">
      <alignment vertical="center" shrinkToFit="1"/>
      <protection hidden="1"/>
    </xf>
    <xf numFmtId="181" fontId="53" fillId="0" borderId="0" xfId="0" applyNumberFormat="1" applyFont="1" applyProtection="1">
      <alignment vertical="center"/>
      <protection hidden="1"/>
    </xf>
    <xf numFmtId="0" fontId="54" fillId="0" borderId="0" xfId="0" applyFont="1" applyProtection="1">
      <alignment vertical="center"/>
      <protection hidden="1"/>
    </xf>
    <xf numFmtId="0" fontId="39" fillId="0" borderId="0" xfId="0" applyFont="1" applyProtection="1">
      <alignment vertical="center"/>
      <protection hidden="1"/>
    </xf>
    <xf numFmtId="179" fontId="54" fillId="0" borderId="0" xfId="0" applyNumberFormat="1" applyFont="1" applyProtection="1">
      <alignment vertical="center"/>
      <protection hidden="1"/>
    </xf>
    <xf numFmtId="0" fontId="25" fillId="0" borderId="6" xfId="0" applyFont="1" applyBorder="1" applyAlignment="1">
      <alignment vertical="top" wrapText="1"/>
    </xf>
    <xf numFmtId="0" fontId="25" fillId="0" borderId="15" xfId="0" applyFont="1" applyBorder="1" applyAlignment="1">
      <alignment vertical="top" wrapText="1"/>
    </xf>
    <xf numFmtId="0" fontId="56" fillId="0" borderId="0" xfId="0" applyFont="1" applyAlignment="1" applyProtection="1">
      <alignment horizontal="left" vertical="top"/>
      <protection hidden="1"/>
    </xf>
    <xf numFmtId="0" fontId="57" fillId="0" borderId="0" xfId="0" applyFont="1" applyProtection="1">
      <alignment vertical="center"/>
      <protection hidden="1"/>
    </xf>
    <xf numFmtId="0" fontId="58" fillId="0" borderId="0" xfId="0" applyFont="1" applyProtection="1">
      <alignment vertical="center"/>
      <protection hidden="1"/>
    </xf>
    <xf numFmtId="0" fontId="56" fillId="0" borderId="0" xfId="0" applyFont="1" applyProtection="1">
      <alignment vertical="center"/>
      <protection hidden="1"/>
    </xf>
    <xf numFmtId="0" fontId="59" fillId="0" borderId="0" xfId="0" applyFont="1" applyProtection="1">
      <alignment vertical="center"/>
      <protection hidden="1"/>
    </xf>
    <xf numFmtId="0" fontId="60" fillId="0" borderId="0" xfId="0" applyFont="1" applyProtection="1">
      <alignment vertical="center"/>
      <protection hidden="1"/>
    </xf>
    <xf numFmtId="0" fontId="33" fillId="0" borderId="0" xfId="0" applyFont="1" applyProtection="1">
      <alignment vertical="center"/>
      <protection hidden="1"/>
    </xf>
    <xf numFmtId="0" fontId="26" fillId="5" borderId="0" xfId="1" applyFont="1" applyFill="1" applyAlignment="1" applyProtection="1">
      <alignment horizontal="center" vertical="center"/>
      <protection locked="0"/>
    </xf>
    <xf numFmtId="0" fontId="16" fillId="4" borderId="11" xfId="14" applyFont="1" applyFill="1" applyBorder="1" applyAlignment="1" applyProtection="1">
      <alignment horizontal="right" vertical="center"/>
      <protection hidden="1"/>
    </xf>
    <xf numFmtId="0" fontId="26" fillId="4" borderId="2" xfId="1" applyFont="1" applyFill="1" applyBorder="1" applyAlignment="1" applyProtection="1">
      <alignment horizontal="left" vertical="center"/>
      <protection hidden="1"/>
    </xf>
    <xf numFmtId="0" fontId="53" fillId="0" borderId="0" xfId="0" applyFont="1" applyProtection="1">
      <alignment vertical="center"/>
      <protection hidden="1"/>
    </xf>
    <xf numFmtId="0" fontId="55" fillId="0" borderId="17" xfId="0" applyFont="1" applyBorder="1" applyAlignment="1">
      <alignment vertical="top"/>
    </xf>
    <xf numFmtId="179" fontId="55" fillId="0" borderId="17" xfId="0" quotePrefix="1" applyNumberFormat="1" applyFont="1" applyBorder="1" applyAlignment="1">
      <alignment vertical="top"/>
    </xf>
    <xf numFmtId="0" fontId="55" fillId="0" borderId="17" xfId="0" applyFont="1" applyBorder="1" applyAlignment="1">
      <alignment vertical="top" wrapText="1"/>
    </xf>
    <xf numFmtId="0" fontId="24" fillId="0" borderId="0" xfId="56" applyFont="1" applyAlignment="1" applyProtection="1">
      <alignment horizontal="left" vertical="center"/>
      <protection hidden="1"/>
    </xf>
    <xf numFmtId="0" fontId="37" fillId="0" borderId="0" xfId="56" applyFont="1" applyAlignment="1" applyProtection="1">
      <alignment horizontal="left" vertical="center"/>
      <protection hidden="1"/>
    </xf>
    <xf numFmtId="0" fontId="37" fillId="0" borderId="0" xfId="56" applyFont="1" applyAlignment="1" applyProtection="1">
      <alignment vertical="top"/>
      <protection hidden="1"/>
    </xf>
    <xf numFmtId="0" fontId="37" fillId="0" borderId="0" xfId="56" applyFont="1" applyAlignment="1" applyProtection="1">
      <alignment horizontal="left" vertical="center" indent="1"/>
      <protection hidden="1"/>
    </xf>
    <xf numFmtId="0" fontId="43" fillId="2" borderId="9" xfId="1" applyFont="1" applyFill="1" applyBorder="1" applyAlignment="1" applyProtection="1">
      <alignment vertical="center" wrapText="1" shrinkToFit="1"/>
      <protection hidden="1"/>
    </xf>
    <xf numFmtId="0" fontId="43" fillId="2" borderId="2" xfId="1" applyFont="1" applyFill="1" applyBorder="1" applyAlignment="1" applyProtection="1">
      <alignment vertical="center" wrapText="1" shrinkToFit="1"/>
      <protection hidden="1"/>
    </xf>
    <xf numFmtId="0" fontId="43" fillId="2" borderId="13" xfId="1" applyFont="1" applyFill="1" applyBorder="1" applyAlignment="1" applyProtection="1">
      <alignment vertical="center" wrapText="1" shrinkToFit="1"/>
      <protection hidden="1"/>
    </xf>
    <xf numFmtId="0" fontId="15" fillId="0" borderId="2" xfId="1" applyFont="1" applyBorder="1" applyAlignment="1" applyProtection="1">
      <alignment horizontal="left" vertical="center"/>
      <protection hidden="1"/>
    </xf>
    <xf numFmtId="0" fontId="15" fillId="0" borderId="1" xfId="1" applyFont="1" applyBorder="1" applyAlignment="1" applyProtection="1">
      <alignment horizontal="left" vertical="center" indent="1"/>
      <protection hidden="1"/>
    </xf>
    <xf numFmtId="0" fontId="17" fillId="0" borderId="1" xfId="0" applyFont="1" applyBorder="1" applyProtection="1">
      <alignment vertical="center"/>
      <protection hidden="1"/>
    </xf>
    <xf numFmtId="0" fontId="15" fillId="0" borderId="1" xfId="0" applyFont="1" applyBorder="1" applyProtection="1">
      <alignment vertical="center"/>
      <protection hidden="1"/>
    </xf>
    <xf numFmtId="0" fontId="37" fillId="0" borderId="1" xfId="11" applyFont="1" applyFill="1" applyBorder="1" applyProtection="1">
      <alignment vertical="center"/>
      <protection hidden="1"/>
    </xf>
    <xf numFmtId="0" fontId="43" fillId="0" borderId="0" xfId="1" applyFont="1" applyAlignment="1" applyProtection="1">
      <alignment vertical="center" wrapText="1" shrinkToFit="1"/>
      <protection hidden="1"/>
    </xf>
    <xf numFmtId="0" fontId="26" fillId="4" borderId="1" xfId="1" applyFont="1" applyFill="1" applyBorder="1" applyAlignment="1" applyProtection="1">
      <alignment horizontal="center" vertical="center"/>
      <protection locked="0"/>
    </xf>
    <xf numFmtId="0" fontId="51" fillId="0" borderId="0" xfId="1" applyFont="1" applyAlignment="1" applyProtection="1">
      <protection hidden="1"/>
    </xf>
    <xf numFmtId="0" fontId="17" fillId="5" borderId="0" xfId="1" applyFont="1" applyFill="1" applyAlignment="1" applyProtection="1">
      <alignment horizontal="left" vertical="center"/>
      <protection hidden="1"/>
    </xf>
    <xf numFmtId="0" fontId="37" fillId="5" borderId="0" xfId="11" applyFont="1" applyFill="1" applyBorder="1" applyAlignment="1" applyProtection="1">
      <alignment vertical="center"/>
      <protection hidden="1"/>
    </xf>
    <xf numFmtId="0" fontId="15" fillId="5" borderId="0" xfId="1" applyFont="1" applyFill="1" applyProtection="1">
      <alignment vertical="center"/>
      <protection hidden="1"/>
    </xf>
    <xf numFmtId="0" fontId="15" fillId="5" borderId="19" xfId="1" applyFont="1" applyFill="1" applyBorder="1" applyProtection="1">
      <alignment vertical="center"/>
      <protection hidden="1"/>
    </xf>
    <xf numFmtId="0" fontId="63" fillId="0" borderId="0" xfId="0" applyFont="1" applyProtection="1">
      <alignment vertical="center"/>
      <protection locked="0" hidden="1"/>
    </xf>
    <xf numFmtId="181" fontId="25" fillId="0" borderId="6" xfId="0" applyNumberFormat="1" applyFont="1" applyBorder="1" applyAlignment="1">
      <alignment vertical="top" wrapText="1"/>
    </xf>
    <xf numFmtId="181" fontId="25" fillId="0" borderId="15" xfId="0" applyNumberFormat="1" applyFont="1" applyBorder="1" applyAlignment="1">
      <alignment vertical="top" wrapText="1"/>
    </xf>
    <xf numFmtId="179" fontId="55" fillId="0" borderId="17" xfId="0" applyNumberFormat="1" applyFont="1" applyBorder="1" applyAlignment="1">
      <alignment vertical="top"/>
    </xf>
    <xf numFmtId="0" fontId="15" fillId="0" borderId="0" xfId="1" applyFont="1" applyAlignment="1" applyProtection="1">
      <alignment vertical="top"/>
      <protection hidden="1"/>
    </xf>
    <xf numFmtId="0" fontId="55" fillId="0" borderId="17" xfId="0" applyFont="1" applyBorder="1" applyAlignment="1">
      <alignment horizontal="center" vertical="top"/>
    </xf>
    <xf numFmtId="0" fontId="0" fillId="0" borderId="0" xfId="0" applyAlignment="1" applyProtection="1">
      <alignment vertical="top"/>
      <protection locked="0" hidden="1"/>
    </xf>
    <xf numFmtId="0" fontId="0" fillId="0" borderId="0" xfId="0" applyAlignment="1">
      <alignment vertical="top"/>
    </xf>
    <xf numFmtId="179" fontId="55" fillId="0" borderId="0" xfId="0" applyNumberFormat="1" applyFont="1" applyAlignment="1">
      <alignment vertical="top"/>
    </xf>
    <xf numFmtId="0" fontId="55" fillId="2" borderId="17" xfId="0" applyFont="1" applyFill="1" applyBorder="1" applyAlignment="1">
      <alignment vertical="top"/>
    </xf>
    <xf numFmtId="179" fontId="55" fillId="2" borderId="17" xfId="0" applyNumberFormat="1" applyFont="1" applyFill="1" applyBorder="1" applyAlignment="1">
      <alignment vertical="top"/>
    </xf>
    <xf numFmtId="0" fontId="55" fillId="0" borderId="0" xfId="0" applyFont="1" applyAlignment="1">
      <alignment vertical="top"/>
    </xf>
    <xf numFmtId="0" fontId="55" fillId="0" borderId="0" xfId="0" applyFont="1" applyAlignment="1">
      <alignment vertical="top" wrapText="1"/>
    </xf>
    <xf numFmtId="0" fontId="0" fillId="0" borderId="0" xfId="0" applyAlignment="1">
      <alignment horizontal="center" vertical="top"/>
    </xf>
    <xf numFmtId="0" fontId="55" fillId="2" borderId="17" xfId="0" applyFont="1" applyFill="1" applyBorder="1" applyAlignment="1">
      <alignment horizontal="center" vertical="top"/>
    </xf>
    <xf numFmtId="0" fontId="55" fillId="0" borderId="0" xfId="0" applyFont="1" applyAlignment="1">
      <alignment horizontal="center" vertical="top"/>
    </xf>
    <xf numFmtId="181" fontId="15" fillId="0" borderId="23" xfId="0" applyNumberFormat="1" applyFont="1" applyBorder="1" applyAlignment="1" applyProtection="1">
      <alignment vertical="top"/>
      <protection hidden="1"/>
    </xf>
    <xf numFmtId="0" fontId="25" fillId="0" borderId="29" xfId="0" applyFont="1" applyBorder="1" applyAlignment="1">
      <alignment vertical="top" wrapText="1"/>
    </xf>
    <xf numFmtId="0" fontId="25" fillId="0" borderId="62" xfId="0" applyFont="1" applyBorder="1" applyAlignment="1" applyProtection="1">
      <alignment horizontal="center" vertical="center"/>
      <protection hidden="1"/>
    </xf>
    <xf numFmtId="0" fontId="15" fillId="0" borderId="0" xfId="1" applyFont="1" applyAlignment="1" applyProtection="1">
      <alignment vertical="top"/>
      <protection locked="0"/>
    </xf>
    <xf numFmtId="0" fontId="50" fillId="0" borderId="25" xfId="0" applyFont="1" applyBorder="1">
      <alignment vertical="center"/>
    </xf>
    <xf numFmtId="0" fontId="50" fillId="0" borderId="28" xfId="0" applyFont="1" applyBorder="1">
      <alignment vertical="center"/>
    </xf>
    <xf numFmtId="0" fontId="50" fillId="0" borderId="26" xfId="0" applyFont="1" applyBorder="1">
      <alignment vertical="center"/>
    </xf>
    <xf numFmtId="0" fontId="12" fillId="0" borderId="0" xfId="1" applyFont="1" applyAlignment="1" applyProtection="1">
      <alignment vertical="center" wrapText="1"/>
      <protection hidden="1"/>
    </xf>
    <xf numFmtId="0" fontId="28" fillId="0" borderId="0" xfId="1" applyFont="1" applyAlignment="1" applyProtection="1">
      <alignment vertical="top" wrapText="1"/>
      <protection hidden="1"/>
    </xf>
    <xf numFmtId="181" fontId="45" fillId="7" borderId="55" xfId="0" applyNumberFormat="1" applyFont="1" applyFill="1" applyBorder="1" applyAlignment="1" applyProtection="1">
      <alignment horizontal="right" vertical="center"/>
      <protection hidden="1"/>
    </xf>
    <xf numFmtId="6" fontId="29" fillId="0" borderId="69" xfId="0" applyNumberFormat="1" applyFont="1" applyBorder="1" applyProtection="1">
      <alignment vertical="center"/>
      <protection hidden="1"/>
    </xf>
    <xf numFmtId="6" fontId="29" fillId="0" borderId="30" xfId="0" applyNumberFormat="1" applyFont="1" applyBorder="1" applyProtection="1">
      <alignment vertical="center"/>
      <protection hidden="1"/>
    </xf>
    <xf numFmtId="6" fontId="29" fillId="0" borderId="32" xfId="0" applyNumberFormat="1" applyFont="1" applyBorder="1" applyProtection="1">
      <alignment vertical="center"/>
      <protection hidden="1"/>
    </xf>
    <xf numFmtId="0" fontId="45" fillId="7" borderId="58" xfId="1" applyFont="1" applyFill="1" applyBorder="1" applyAlignment="1" applyProtection="1">
      <alignment horizontal="center" vertical="center"/>
      <protection hidden="1"/>
    </xf>
    <xf numFmtId="0" fontId="45" fillId="7" borderId="55" xfId="1" applyFont="1" applyFill="1" applyBorder="1" applyAlignment="1" applyProtection="1">
      <alignment horizontal="center" vertical="center"/>
      <protection hidden="1"/>
    </xf>
    <xf numFmtId="180" fontId="36" fillId="0" borderId="55" xfId="0" applyNumberFormat="1" applyFont="1" applyBorder="1" applyProtection="1">
      <alignment vertical="center"/>
      <protection hidden="1"/>
    </xf>
    <xf numFmtId="180" fontId="36" fillId="0" borderId="56" xfId="0" applyNumberFormat="1" applyFont="1" applyBorder="1" applyProtection="1">
      <alignment vertical="center"/>
      <protection hidden="1"/>
    </xf>
    <xf numFmtId="181" fontId="45" fillId="7" borderId="54" xfId="0" applyNumberFormat="1" applyFont="1" applyFill="1" applyBorder="1" applyAlignment="1" applyProtection="1">
      <alignment horizontal="right" vertical="center"/>
      <protection hidden="1"/>
    </xf>
    <xf numFmtId="6" fontId="29" fillId="0" borderId="70" xfId="0" applyNumberFormat="1" applyFont="1" applyBorder="1" applyProtection="1">
      <alignment vertical="center"/>
      <protection hidden="1"/>
    </xf>
    <xf numFmtId="6" fontId="29" fillId="0" borderId="46" xfId="0" applyNumberFormat="1" applyFont="1" applyBorder="1" applyProtection="1">
      <alignment vertical="center"/>
      <protection hidden="1"/>
    </xf>
    <xf numFmtId="6" fontId="29" fillId="0" borderId="64" xfId="0" applyNumberFormat="1" applyFont="1" applyBorder="1" applyProtection="1">
      <alignment vertical="center"/>
      <protection hidden="1"/>
    </xf>
    <xf numFmtId="0" fontId="45" fillId="7" borderId="63" xfId="1" applyFont="1" applyFill="1" applyBorder="1" applyAlignment="1" applyProtection="1">
      <alignment horizontal="center" vertical="center"/>
      <protection hidden="1"/>
    </xf>
    <xf numFmtId="0" fontId="45" fillId="7" borderId="54" xfId="1" applyFont="1" applyFill="1" applyBorder="1" applyAlignment="1" applyProtection="1">
      <alignment horizontal="center" vertical="center"/>
      <protection hidden="1"/>
    </xf>
    <xf numFmtId="180" fontId="36" fillId="0" borderId="54" xfId="0" applyNumberFormat="1" applyFont="1" applyBorder="1" applyProtection="1">
      <alignment vertical="center"/>
      <protection hidden="1"/>
    </xf>
    <xf numFmtId="180" fontId="36" fillId="0" borderId="66" xfId="0" applyNumberFormat="1" applyFont="1" applyBorder="1" applyProtection="1">
      <alignment vertical="center"/>
      <protection hidden="1"/>
    </xf>
    <xf numFmtId="0" fontId="25" fillId="0" borderId="0" xfId="0" applyFont="1" applyAlignment="1">
      <alignment vertical="top" wrapText="1"/>
    </xf>
    <xf numFmtId="181" fontId="25" fillId="0" borderId="29" xfId="0" applyNumberFormat="1" applyFont="1" applyBorder="1" applyAlignment="1">
      <alignment vertical="top" wrapText="1"/>
    </xf>
    <xf numFmtId="181" fontId="25" fillId="0" borderId="54" xfId="0" applyNumberFormat="1" applyFont="1" applyBorder="1" applyProtection="1">
      <alignment vertical="center"/>
      <protection hidden="1"/>
    </xf>
    <xf numFmtId="179" fontId="25" fillId="0" borderId="46" xfId="0" applyNumberFormat="1" applyFont="1" applyBorder="1" applyAlignment="1" applyProtection="1">
      <alignment horizontal="center" vertical="center"/>
      <protection hidden="1"/>
    </xf>
    <xf numFmtId="38" fontId="25" fillId="0" borderId="54" xfId="6" applyFont="1" applyFill="1" applyBorder="1" applyAlignment="1" applyProtection="1">
      <alignment horizontal="center" vertical="center"/>
      <protection hidden="1"/>
    </xf>
    <xf numFmtId="0" fontId="25" fillId="0" borderId="54" xfId="0" applyFont="1" applyBorder="1" applyAlignment="1" applyProtection="1">
      <alignment horizontal="center" vertical="center" shrinkToFit="1"/>
      <protection hidden="1"/>
    </xf>
    <xf numFmtId="176" fontId="38" fillId="0" borderId="54" xfId="6" applyNumberFormat="1" applyFont="1" applyBorder="1" applyAlignment="1" applyProtection="1">
      <alignment vertical="center"/>
      <protection hidden="1"/>
    </xf>
    <xf numFmtId="176" fontId="38" fillId="0" borderId="66" xfId="6" applyNumberFormat="1" applyFont="1" applyBorder="1" applyAlignment="1" applyProtection="1">
      <alignment vertical="center"/>
      <protection hidden="1"/>
    </xf>
    <xf numFmtId="181" fontId="25" fillId="0" borderId="53" xfId="0" applyNumberFormat="1" applyFont="1" applyBorder="1" applyProtection="1">
      <alignment vertical="center"/>
      <protection hidden="1"/>
    </xf>
    <xf numFmtId="179" fontId="25" fillId="0" borderId="31" xfId="0" applyNumberFormat="1" applyFont="1" applyBorder="1" applyAlignment="1" applyProtection="1">
      <alignment horizontal="center" vertical="center"/>
      <protection hidden="1"/>
    </xf>
    <xf numFmtId="38" fontId="25" fillId="0" borderId="53" xfId="6" applyFont="1" applyFill="1" applyBorder="1" applyAlignment="1" applyProtection="1">
      <alignment horizontal="center" vertical="center"/>
      <protection hidden="1"/>
    </xf>
    <xf numFmtId="0" fontId="25" fillId="0" borderId="53" xfId="0" applyFont="1" applyBorder="1" applyAlignment="1" applyProtection="1">
      <alignment horizontal="center" vertical="center" shrinkToFit="1"/>
      <protection hidden="1"/>
    </xf>
    <xf numFmtId="176" fontId="38" fillId="0" borderId="53" xfId="6" applyNumberFormat="1" applyFont="1" applyBorder="1" applyAlignment="1" applyProtection="1">
      <alignment vertical="center"/>
      <protection hidden="1"/>
    </xf>
    <xf numFmtId="176" fontId="38" fillId="0" borderId="57" xfId="6" applyNumberFormat="1" applyFont="1" applyBorder="1" applyAlignment="1" applyProtection="1">
      <alignment vertical="center"/>
      <protection hidden="1"/>
    </xf>
    <xf numFmtId="6" fontId="29" fillId="0" borderId="46" xfId="0" applyNumberFormat="1" applyFont="1" applyBorder="1" applyAlignment="1" applyProtection="1">
      <alignment vertical="center" shrinkToFit="1"/>
      <protection hidden="1"/>
    </xf>
    <xf numFmtId="6" fontId="29" fillId="0" borderId="64" xfId="0" applyNumberFormat="1" applyFont="1" applyBorder="1" applyAlignment="1" applyProtection="1">
      <alignment vertical="center" shrinkToFit="1"/>
      <protection hidden="1"/>
    </xf>
    <xf numFmtId="0" fontId="46" fillId="2" borderId="55" xfId="0" applyFont="1" applyFill="1" applyBorder="1" applyAlignment="1" applyProtection="1">
      <alignment horizontal="center" vertical="center"/>
      <protection hidden="1"/>
    </xf>
    <xf numFmtId="0" fontId="46" fillId="2" borderId="30" xfId="1" applyFont="1" applyFill="1" applyBorder="1" applyAlignment="1" applyProtection="1">
      <alignment horizontal="center" vertical="center"/>
      <protection hidden="1"/>
    </xf>
    <xf numFmtId="0" fontId="46" fillId="2" borderId="55" xfId="1" applyFont="1" applyFill="1" applyBorder="1" applyAlignment="1" applyProtection="1">
      <alignment horizontal="center" vertical="center"/>
      <protection hidden="1"/>
    </xf>
    <xf numFmtId="0" fontId="47" fillId="2" borderId="55" xfId="0" applyFont="1" applyFill="1" applyBorder="1" applyAlignment="1" applyProtection="1">
      <alignment horizontal="center" vertical="center" wrapText="1"/>
      <protection hidden="1"/>
    </xf>
    <xf numFmtId="0" fontId="48" fillId="2" borderId="55" xfId="0" applyFont="1" applyFill="1" applyBorder="1" applyAlignment="1" applyProtection="1">
      <alignment horizontal="center" vertical="center" wrapText="1"/>
      <protection hidden="1"/>
    </xf>
    <xf numFmtId="0" fontId="46" fillId="2" borderId="56" xfId="0" applyFont="1" applyFill="1" applyBorder="1" applyAlignment="1" applyProtection="1">
      <alignment horizontal="center" vertical="center"/>
      <protection hidden="1"/>
    </xf>
    <xf numFmtId="176" fontId="38" fillId="0" borderId="54" xfId="6" applyNumberFormat="1" applyFont="1" applyFill="1" applyBorder="1" applyAlignment="1" applyProtection="1">
      <alignment vertical="center"/>
      <protection hidden="1"/>
    </xf>
    <xf numFmtId="176" fontId="38" fillId="0" borderId="66" xfId="6" applyNumberFormat="1" applyFont="1" applyFill="1" applyBorder="1" applyAlignment="1" applyProtection="1">
      <alignment vertical="center"/>
      <protection hidden="1"/>
    </xf>
    <xf numFmtId="181" fontId="45" fillId="7" borderId="53" xfId="0" applyNumberFormat="1" applyFont="1" applyFill="1" applyBorder="1" applyAlignment="1" applyProtection="1">
      <alignment horizontal="right" vertical="center"/>
      <protection hidden="1"/>
    </xf>
    <xf numFmtId="6" fontId="29" fillId="0" borderId="31" xfId="0" applyNumberFormat="1" applyFont="1" applyBorder="1" applyProtection="1">
      <alignment vertical="center"/>
      <protection hidden="1"/>
    </xf>
    <xf numFmtId="6" fontId="29" fillId="0" borderId="33" xfId="0" applyNumberFormat="1" applyFont="1" applyBorder="1" applyProtection="1">
      <alignment vertical="center"/>
      <protection hidden="1"/>
    </xf>
    <xf numFmtId="0" fontId="45" fillId="7" borderId="59" xfId="1" applyFont="1" applyFill="1" applyBorder="1" applyAlignment="1" applyProtection="1">
      <alignment horizontal="center" vertical="center"/>
      <protection hidden="1"/>
    </xf>
    <xf numFmtId="0" fontId="45" fillId="7" borderId="53" xfId="1" applyFont="1" applyFill="1" applyBorder="1" applyAlignment="1" applyProtection="1">
      <alignment horizontal="center" vertical="center"/>
      <protection hidden="1"/>
    </xf>
    <xf numFmtId="180" fontId="36" fillId="0" borderId="53" xfId="0" applyNumberFormat="1" applyFont="1" applyBorder="1" applyProtection="1">
      <alignment vertical="center"/>
      <protection hidden="1"/>
    </xf>
    <xf numFmtId="180" fontId="36" fillId="0" borderId="57" xfId="0" applyNumberFormat="1" applyFont="1" applyBorder="1" applyProtection="1">
      <alignment vertical="center"/>
      <protection hidden="1"/>
    </xf>
    <xf numFmtId="0" fontId="25" fillId="0" borderId="54" xfId="0" applyFont="1" applyBorder="1" applyAlignment="1" applyProtection="1">
      <alignment horizontal="center" vertical="center"/>
      <protection hidden="1"/>
    </xf>
    <xf numFmtId="176" fontId="25" fillId="0" borderId="54" xfId="6" applyNumberFormat="1" applyFont="1" applyFill="1" applyBorder="1" applyAlignment="1" applyProtection="1">
      <alignment horizontal="center" vertical="center"/>
      <protection hidden="1"/>
    </xf>
    <xf numFmtId="176" fontId="38" fillId="0" borderId="53" xfId="6" applyNumberFormat="1" applyFont="1" applyFill="1" applyBorder="1" applyAlignment="1" applyProtection="1">
      <alignment vertical="center"/>
      <protection hidden="1"/>
    </xf>
    <xf numFmtId="176" fontId="38" fillId="0" borderId="57" xfId="6" applyNumberFormat="1" applyFont="1" applyFill="1" applyBorder="1" applyAlignment="1" applyProtection="1">
      <alignment vertical="center"/>
      <protection hidden="1"/>
    </xf>
    <xf numFmtId="0" fontId="25" fillId="0" borderId="53" xfId="0" applyFont="1" applyBorder="1" applyAlignment="1" applyProtection="1">
      <alignment horizontal="center" vertical="center"/>
      <protection hidden="1"/>
    </xf>
    <xf numFmtId="176" fontId="25" fillId="0" borderId="53" xfId="6" applyNumberFormat="1" applyFont="1" applyFill="1" applyBorder="1" applyAlignment="1" applyProtection="1">
      <alignment horizontal="center" vertical="center"/>
      <protection hidden="1"/>
    </xf>
    <xf numFmtId="181" fontId="45" fillId="8" borderId="53" xfId="0" applyNumberFormat="1" applyFont="1" applyFill="1" applyBorder="1" applyAlignment="1" applyProtection="1">
      <alignment horizontal="right" vertical="center"/>
      <protection hidden="1"/>
    </xf>
    <xf numFmtId="6" fontId="29" fillId="0" borderId="53" xfId="0" applyNumberFormat="1" applyFont="1" applyBorder="1" applyProtection="1">
      <alignment vertical="center"/>
      <protection hidden="1"/>
    </xf>
    <xf numFmtId="6" fontId="29" fillId="0" borderId="57" xfId="0" applyNumberFormat="1" applyFont="1" applyBorder="1" applyProtection="1">
      <alignment vertical="center"/>
      <protection hidden="1"/>
    </xf>
    <xf numFmtId="181" fontId="45" fillId="8" borderId="54" xfId="0" applyNumberFormat="1" applyFont="1" applyFill="1" applyBorder="1" applyAlignment="1" applyProtection="1">
      <alignment horizontal="right" vertical="center"/>
      <protection hidden="1"/>
    </xf>
    <xf numFmtId="6" fontId="29" fillId="0" borderId="54" xfId="0" applyNumberFormat="1" applyFont="1" applyBorder="1" applyProtection="1">
      <alignment vertical="center"/>
      <protection hidden="1"/>
    </xf>
    <xf numFmtId="6" fontId="29" fillId="0" borderId="66" xfId="0" applyNumberFormat="1" applyFont="1" applyBorder="1" applyProtection="1">
      <alignment vertical="center"/>
      <protection hidden="1"/>
    </xf>
    <xf numFmtId="176" fontId="38" fillId="0" borderId="27" xfId="6" applyNumberFormat="1" applyFont="1" applyBorder="1" applyAlignment="1" applyProtection="1">
      <alignment vertical="center"/>
      <protection hidden="1"/>
    </xf>
    <xf numFmtId="176" fontId="38" fillId="0" borderId="23" xfId="6" applyNumberFormat="1" applyFont="1" applyBorder="1" applyAlignment="1" applyProtection="1">
      <alignment vertical="center"/>
      <protection hidden="1"/>
    </xf>
    <xf numFmtId="176" fontId="38" fillId="0" borderId="24" xfId="6" applyNumberFormat="1" applyFont="1" applyBorder="1" applyAlignment="1" applyProtection="1">
      <alignment vertical="center"/>
      <protection hidden="1"/>
    </xf>
    <xf numFmtId="181" fontId="45" fillId="8" borderId="55" xfId="0" applyNumberFormat="1" applyFont="1" applyFill="1" applyBorder="1" applyAlignment="1" applyProtection="1">
      <alignment horizontal="right" vertical="center"/>
      <protection hidden="1"/>
    </xf>
    <xf numFmtId="6" fontId="29" fillId="0" borderId="55" xfId="0" applyNumberFormat="1" applyFont="1" applyBorder="1" applyProtection="1">
      <alignment vertical="center"/>
      <protection hidden="1"/>
    </xf>
    <xf numFmtId="6" fontId="29" fillId="0" borderId="56" xfId="0" applyNumberFormat="1" applyFont="1" applyBorder="1" applyProtection="1">
      <alignment vertical="center"/>
      <protection hidden="1"/>
    </xf>
    <xf numFmtId="176" fontId="25" fillId="0" borderId="54" xfId="6" applyNumberFormat="1" applyFont="1" applyBorder="1" applyAlignment="1" applyProtection="1">
      <alignment horizontal="center" vertical="center"/>
      <protection hidden="1"/>
    </xf>
    <xf numFmtId="176" fontId="25" fillId="0" borderId="53" xfId="6" applyNumberFormat="1" applyFont="1" applyBorder="1" applyAlignment="1" applyProtection="1">
      <alignment horizontal="center" vertical="center"/>
      <protection hidden="1"/>
    </xf>
    <xf numFmtId="0" fontId="45" fillId="6" borderId="67" xfId="0" applyFont="1" applyFill="1" applyBorder="1" applyAlignment="1" applyProtection="1">
      <alignment horizontal="right" vertical="center"/>
      <protection hidden="1"/>
    </xf>
    <xf numFmtId="6" fontId="29" fillId="0" borderId="67" xfId="0" applyNumberFormat="1" applyFont="1" applyBorder="1" applyProtection="1">
      <alignment vertical="center"/>
      <protection hidden="1"/>
    </xf>
    <xf numFmtId="6" fontId="29" fillId="0" borderId="68" xfId="0" applyNumberFormat="1" applyFont="1" applyBorder="1" applyProtection="1">
      <alignment vertical="center"/>
      <protection hidden="1"/>
    </xf>
    <xf numFmtId="0" fontId="45" fillId="6" borderId="62" xfId="1" applyFont="1" applyFill="1" applyBorder="1" applyAlignment="1" applyProtection="1">
      <alignment horizontal="center" vertical="center"/>
      <protection hidden="1"/>
    </xf>
    <xf numFmtId="0" fontId="45" fillId="6" borderId="67" xfId="1" applyFont="1" applyFill="1" applyBorder="1" applyAlignment="1" applyProtection="1">
      <alignment horizontal="center" vertical="center"/>
      <protection hidden="1"/>
    </xf>
    <xf numFmtId="180" fontId="36" fillId="0" borderId="67" xfId="0" applyNumberFormat="1" applyFont="1" applyBorder="1" applyProtection="1">
      <alignment vertical="center"/>
      <protection hidden="1"/>
    </xf>
    <xf numFmtId="180" fontId="36" fillId="0" borderId="68" xfId="0" applyNumberFormat="1" applyFont="1" applyBorder="1" applyProtection="1">
      <alignment vertical="center"/>
      <protection hidden="1"/>
    </xf>
    <xf numFmtId="181" fontId="47" fillId="0" borderId="28" xfId="0" applyNumberFormat="1" applyFont="1" applyBorder="1" applyProtection="1">
      <alignment vertical="center"/>
      <protection hidden="1"/>
    </xf>
    <xf numFmtId="181" fontId="47" fillId="0" borderId="0" xfId="0" applyNumberFormat="1" applyFont="1" applyAlignment="1" applyProtection="1">
      <alignment vertical="top"/>
      <protection hidden="1"/>
    </xf>
    <xf numFmtId="181" fontId="25" fillId="0" borderId="51" xfId="0" applyNumberFormat="1" applyFont="1" applyBorder="1" applyAlignment="1" applyProtection="1">
      <alignment horizontal="left" vertical="center" wrapText="1"/>
      <protection hidden="1"/>
    </xf>
    <xf numFmtId="181" fontId="25" fillId="0" borderId="45" xfId="0" applyNumberFormat="1" applyFont="1" applyBorder="1" applyAlignment="1" applyProtection="1">
      <alignment horizontal="left" vertical="center" wrapText="1"/>
      <protection hidden="1"/>
    </xf>
    <xf numFmtId="181" fontId="25" fillId="0" borderId="52" xfId="0" applyNumberFormat="1" applyFont="1" applyBorder="1" applyAlignment="1" applyProtection="1">
      <alignment horizontal="left" vertical="center" wrapText="1"/>
      <protection hidden="1"/>
    </xf>
    <xf numFmtId="176" fontId="25" fillId="0" borderId="54" xfId="6" applyNumberFormat="1" applyFont="1" applyBorder="1" applyAlignment="1" applyProtection="1">
      <alignment vertical="center"/>
      <protection hidden="1"/>
    </xf>
    <xf numFmtId="181" fontId="25" fillId="0" borderId="49" xfId="0" applyNumberFormat="1" applyFont="1" applyBorder="1" applyAlignment="1" applyProtection="1">
      <alignment horizontal="left" vertical="center" wrapText="1"/>
      <protection hidden="1"/>
    </xf>
    <xf numFmtId="181" fontId="25" fillId="0" borderId="44" xfId="0" applyNumberFormat="1" applyFont="1" applyBorder="1" applyAlignment="1" applyProtection="1">
      <alignment horizontal="left" vertical="center" wrapText="1"/>
      <protection hidden="1"/>
    </xf>
    <xf numFmtId="181" fontId="25" fillId="0" borderId="50" xfId="0" applyNumberFormat="1" applyFont="1" applyBorder="1" applyAlignment="1" applyProtection="1">
      <alignment horizontal="left" vertical="center" wrapText="1"/>
      <protection hidden="1"/>
    </xf>
    <xf numFmtId="176" fontId="25" fillId="0" borderId="53" xfId="6" applyNumberFormat="1" applyFont="1" applyBorder="1" applyAlignment="1" applyProtection="1">
      <alignment vertical="center"/>
      <protection hidden="1"/>
    </xf>
    <xf numFmtId="181" fontId="25" fillId="0" borderId="49" xfId="0" applyNumberFormat="1" applyFont="1" applyBorder="1" applyAlignment="1" applyProtection="1">
      <alignment horizontal="left" vertical="center" shrinkToFit="1"/>
      <protection hidden="1"/>
    </xf>
    <xf numFmtId="181" fontId="25" fillId="0" borderId="44" xfId="0" applyNumberFormat="1" applyFont="1" applyBorder="1" applyAlignment="1" applyProtection="1">
      <alignment horizontal="left" vertical="center" shrinkToFit="1"/>
      <protection hidden="1"/>
    </xf>
    <xf numFmtId="181" fontId="25" fillId="0" borderId="50" xfId="0" applyNumberFormat="1" applyFont="1" applyBorder="1" applyAlignment="1" applyProtection="1">
      <alignment horizontal="left" vertical="center" shrinkToFit="1"/>
      <protection hidden="1"/>
    </xf>
    <xf numFmtId="181" fontId="44" fillId="0" borderId="0" xfId="0" applyNumberFormat="1" applyFont="1" applyAlignment="1" applyProtection="1">
      <alignment horizontal="left" vertical="center"/>
      <protection hidden="1"/>
    </xf>
    <xf numFmtId="0" fontId="44" fillId="0" borderId="0" xfId="0" applyFont="1" applyAlignment="1" applyProtection="1">
      <alignment horizontal="left" vertical="center"/>
      <protection hidden="1"/>
    </xf>
    <xf numFmtId="0" fontId="16" fillId="0" borderId="1" xfId="0" applyFont="1" applyBorder="1" applyAlignment="1" applyProtection="1">
      <alignment horizontal="center"/>
      <protection hidden="1"/>
    </xf>
    <xf numFmtId="0" fontId="45" fillId="2" borderId="27" xfId="1" applyFont="1" applyFill="1" applyBorder="1" applyAlignment="1" applyProtection="1">
      <alignment horizontal="center" vertical="center"/>
      <protection hidden="1"/>
    </xf>
    <xf numFmtId="0" fontId="45" fillId="2" borderId="23" xfId="1" applyFont="1" applyFill="1" applyBorder="1" applyAlignment="1" applyProtection="1">
      <alignment horizontal="center" vertical="center"/>
      <protection hidden="1"/>
    </xf>
    <xf numFmtId="0" fontId="45" fillId="2" borderId="24" xfId="1" applyFont="1" applyFill="1" applyBorder="1" applyAlignment="1" applyProtection="1">
      <alignment horizontal="center" vertical="center"/>
      <protection hidden="1"/>
    </xf>
    <xf numFmtId="0" fontId="46" fillId="2" borderId="47" xfId="0" applyFont="1" applyFill="1" applyBorder="1" applyAlignment="1" applyProtection="1">
      <alignment horizontal="center" vertical="center"/>
      <protection hidden="1"/>
    </xf>
    <xf numFmtId="0" fontId="46" fillId="2" borderId="43" xfId="0" applyFont="1" applyFill="1" applyBorder="1" applyAlignment="1" applyProtection="1">
      <alignment horizontal="center" vertical="center"/>
      <protection hidden="1"/>
    </xf>
    <xf numFmtId="0" fontId="46" fillId="2" borderId="48" xfId="0" applyFont="1" applyFill="1" applyBorder="1" applyAlignment="1" applyProtection="1">
      <alignment horizontal="center" vertical="center"/>
      <protection hidden="1"/>
    </xf>
    <xf numFmtId="0" fontId="44" fillId="2" borderId="55" xfId="21" applyFont="1" applyFill="1" applyBorder="1" applyAlignment="1" applyProtection="1">
      <alignment horizontal="center" vertical="center"/>
      <protection hidden="1"/>
    </xf>
    <xf numFmtId="0" fontId="46" fillId="2" borderId="55" xfId="0" applyFont="1" applyFill="1" applyBorder="1" applyAlignment="1" applyProtection="1">
      <alignment horizontal="center" vertical="center" wrapText="1"/>
      <protection hidden="1"/>
    </xf>
    <xf numFmtId="0" fontId="15" fillId="0" borderId="27" xfId="1" applyFont="1" applyBorder="1" applyAlignment="1" applyProtection="1">
      <alignment vertical="top" wrapText="1"/>
      <protection hidden="1"/>
    </xf>
    <xf numFmtId="0" fontId="15" fillId="0" borderId="23" xfId="1" applyFont="1" applyBorder="1" applyAlignment="1" applyProtection="1">
      <alignment vertical="top"/>
      <protection hidden="1"/>
    </xf>
    <xf numFmtId="0" fontId="15" fillId="0" borderId="24" xfId="1" applyFont="1" applyBorder="1" applyAlignment="1" applyProtection="1">
      <alignment vertical="top"/>
      <protection hidden="1"/>
    </xf>
    <xf numFmtId="0" fontId="43" fillId="2" borderId="7" xfId="1" applyFont="1" applyFill="1" applyBorder="1" applyAlignment="1" applyProtection="1">
      <alignment horizontal="center" vertical="center" wrapText="1" shrinkToFit="1"/>
      <protection hidden="1"/>
    </xf>
    <xf numFmtId="0" fontId="43" fillId="2" borderId="1" xfId="1" applyFont="1" applyFill="1" applyBorder="1" applyAlignment="1" applyProtection="1">
      <alignment horizontal="center" vertical="center" wrapText="1" shrinkToFit="1"/>
      <protection hidden="1"/>
    </xf>
    <xf numFmtId="0" fontId="43" fillId="2" borderId="10" xfId="1" applyFont="1" applyFill="1" applyBorder="1" applyAlignment="1" applyProtection="1">
      <alignment horizontal="center" vertical="center" wrapText="1" shrinkToFit="1"/>
      <protection hidden="1"/>
    </xf>
    <xf numFmtId="0" fontId="43" fillId="2" borderId="8" xfId="1" applyFont="1" applyFill="1" applyBorder="1" applyAlignment="1" applyProtection="1">
      <alignment horizontal="center" vertical="center" wrapText="1" shrinkToFit="1"/>
      <protection hidden="1"/>
    </xf>
    <xf numFmtId="0" fontId="43" fillId="2" borderId="0" xfId="1" applyFont="1" applyFill="1" applyAlignment="1" applyProtection="1">
      <alignment horizontal="center" vertical="center" wrapText="1" shrinkToFit="1"/>
      <protection hidden="1"/>
    </xf>
    <xf numFmtId="0" fontId="43" fillId="2" borderId="6" xfId="1" applyFont="1" applyFill="1" applyBorder="1" applyAlignment="1" applyProtection="1">
      <alignment horizontal="center" vertical="center" wrapText="1" shrinkToFit="1"/>
      <protection hidden="1"/>
    </xf>
    <xf numFmtId="0" fontId="61" fillId="0" borderId="27" xfId="0" applyFont="1" applyBorder="1" applyAlignment="1" applyProtection="1">
      <alignment vertical="top" wrapText="1"/>
      <protection hidden="1"/>
    </xf>
    <xf numFmtId="0" fontId="61" fillId="0" borderId="23" xfId="0" applyFont="1" applyBorder="1" applyAlignment="1" applyProtection="1">
      <alignment vertical="top"/>
      <protection hidden="1"/>
    </xf>
    <xf numFmtId="0" fontId="61" fillId="0" borderId="24" xfId="0" applyFont="1" applyBorder="1" applyAlignment="1" applyProtection="1">
      <alignment vertical="top"/>
      <protection hidden="1"/>
    </xf>
    <xf numFmtId="0" fontId="43" fillId="2" borderId="9" xfId="1" applyFont="1" applyFill="1" applyBorder="1" applyAlignment="1" applyProtection="1">
      <alignment horizontal="center" vertical="center" wrapText="1" shrinkToFit="1"/>
      <protection hidden="1"/>
    </xf>
    <xf numFmtId="0" fontId="43" fillId="2" borderId="2" xfId="1" applyFont="1" applyFill="1" applyBorder="1" applyAlignment="1" applyProtection="1">
      <alignment horizontal="center" vertical="center" wrapText="1" shrinkToFit="1"/>
      <protection hidden="1"/>
    </xf>
    <xf numFmtId="0" fontId="43" fillId="2" borderId="13" xfId="1" applyFont="1" applyFill="1" applyBorder="1" applyAlignment="1" applyProtection="1">
      <alignment horizontal="center" vertical="center" wrapText="1" shrinkToFit="1"/>
      <protection hidden="1"/>
    </xf>
    <xf numFmtId="179" fontId="24" fillId="0" borderId="27" xfId="1" applyNumberFormat="1" applyFont="1" applyBorder="1" applyProtection="1">
      <alignment vertical="center"/>
      <protection hidden="1"/>
    </xf>
    <xf numFmtId="179" fontId="24" fillId="0" borderId="23" xfId="1" applyNumberFormat="1" applyFont="1" applyBorder="1" applyProtection="1">
      <alignment vertical="center"/>
      <protection hidden="1"/>
    </xf>
    <xf numFmtId="179" fontId="24" fillId="0" borderId="24" xfId="1" applyNumberFormat="1" applyFont="1" applyBorder="1" applyProtection="1">
      <alignment vertical="center"/>
      <protection hidden="1"/>
    </xf>
    <xf numFmtId="179" fontId="24" fillId="2" borderId="27" xfId="1" applyNumberFormat="1" applyFont="1" applyFill="1" applyBorder="1" applyAlignment="1" applyProtection="1">
      <alignment horizontal="center" vertical="center"/>
      <protection hidden="1"/>
    </xf>
    <xf numFmtId="0" fontId="24" fillId="2" borderId="23" xfId="1" applyFont="1" applyFill="1" applyBorder="1" applyAlignment="1" applyProtection="1">
      <alignment horizontal="center" vertical="center"/>
      <protection hidden="1"/>
    </xf>
    <xf numFmtId="0" fontId="24" fillId="2" borderId="24" xfId="1" applyFont="1" applyFill="1" applyBorder="1" applyAlignment="1" applyProtection="1">
      <alignment horizontal="center" vertical="center"/>
      <protection hidden="1"/>
    </xf>
    <xf numFmtId="0" fontId="24" fillId="2" borderId="27" xfId="1" applyFont="1" applyFill="1" applyBorder="1" applyProtection="1">
      <alignment vertical="center"/>
      <protection hidden="1"/>
    </xf>
    <xf numFmtId="0" fontId="24" fillId="2" borderId="23" xfId="1" applyFont="1" applyFill="1" applyBorder="1" applyProtection="1">
      <alignment vertical="center"/>
      <protection hidden="1"/>
    </xf>
    <xf numFmtId="0" fontId="24" fillId="2" borderId="24" xfId="1" applyFont="1" applyFill="1" applyBorder="1" applyProtection="1">
      <alignment vertical="center"/>
      <protection hidden="1"/>
    </xf>
    <xf numFmtId="0" fontId="30" fillId="0" borderId="27" xfId="0" applyFont="1" applyBorder="1" applyAlignment="1" applyProtection="1">
      <alignment vertical="center" shrinkToFit="1"/>
      <protection hidden="1"/>
    </xf>
    <xf numFmtId="0" fontId="30" fillId="0" borderId="23" xfId="0" applyFont="1" applyBorder="1" applyAlignment="1" applyProtection="1">
      <alignment vertical="center" shrinkToFit="1"/>
      <protection hidden="1"/>
    </xf>
    <xf numFmtId="0" fontId="17" fillId="0" borderId="23" xfId="0" applyFont="1" applyBorder="1" applyAlignment="1" applyProtection="1">
      <alignment vertical="center" shrinkToFit="1"/>
      <protection hidden="1"/>
    </xf>
    <xf numFmtId="0" fontId="17" fillId="0" borderId="24" xfId="0" applyFont="1" applyBorder="1" applyAlignment="1" applyProtection="1">
      <alignment vertical="center" shrinkToFit="1"/>
      <protection hidden="1"/>
    </xf>
    <xf numFmtId="181" fontId="17" fillId="0" borderId="23" xfId="0" applyNumberFormat="1" applyFont="1" applyBorder="1" applyAlignment="1" applyProtection="1">
      <alignment vertical="center" shrinkToFit="1"/>
      <protection hidden="1"/>
    </xf>
    <xf numFmtId="0" fontId="40" fillId="0" borderId="0" xfId="1" applyFont="1" applyAlignment="1" applyProtection="1">
      <alignment horizontal="center" vertical="center"/>
      <protection hidden="1"/>
    </xf>
    <xf numFmtId="181" fontId="24" fillId="0" borderId="0" xfId="0" applyNumberFormat="1" applyFont="1" applyAlignment="1" applyProtection="1">
      <alignment vertical="top" wrapText="1"/>
      <protection hidden="1"/>
    </xf>
    <xf numFmtId="0" fontId="24" fillId="0" borderId="0" xfId="0" applyFont="1" applyAlignment="1" applyProtection="1">
      <alignment vertical="top" wrapText="1"/>
      <protection hidden="1"/>
    </xf>
    <xf numFmtId="0" fontId="42" fillId="2" borderId="27" xfId="0" applyFont="1" applyFill="1" applyBorder="1" applyAlignment="1" applyProtection="1">
      <alignment horizontal="center" vertical="center"/>
      <protection hidden="1"/>
    </xf>
    <xf numFmtId="0" fontId="42" fillId="2" borderId="23" xfId="0" applyFont="1" applyFill="1" applyBorder="1" applyAlignment="1" applyProtection="1">
      <alignment horizontal="center" vertical="center"/>
      <protection hidden="1"/>
    </xf>
    <xf numFmtId="0" fontId="42" fillId="2" borderId="24" xfId="0" applyFont="1" applyFill="1" applyBorder="1" applyAlignment="1" applyProtection="1">
      <alignment horizontal="center" vertical="center"/>
      <protection hidden="1"/>
    </xf>
    <xf numFmtId="0" fontId="26" fillId="3" borderId="25" xfId="1" applyFont="1" applyFill="1" applyBorder="1" applyAlignment="1" applyProtection="1">
      <alignment horizontal="left" vertical="center" wrapText="1"/>
      <protection hidden="1"/>
    </xf>
    <xf numFmtId="0" fontId="26" fillId="3" borderId="28" xfId="1" applyFont="1" applyFill="1" applyBorder="1" applyAlignment="1" applyProtection="1">
      <alignment horizontal="left" vertical="center" wrapText="1"/>
      <protection hidden="1"/>
    </xf>
    <xf numFmtId="0" fontId="26" fillId="3" borderId="26" xfId="1" applyFont="1" applyFill="1" applyBorder="1" applyAlignment="1" applyProtection="1">
      <alignment horizontal="left" vertical="center" wrapText="1"/>
      <protection hidden="1"/>
    </xf>
    <xf numFmtId="0" fontId="26" fillId="3" borderId="11" xfId="1" applyFont="1" applyFill="1" applyBorder="1" applyAlignment="1" applyProtection="1">
      <alignment horizontal="left" vertical="center" wrapText="1"/>
      <protection hidden="1"/>
    </xf>
    <xf numFmtId="0" fontId="26" fillId="3" borderId="0" xfId="1" applyFont="1" applyFill="1" applyAlignment="1" applyProtection="1">
      <alignment horizontal="left" vertical="center" wrapText="1"/>
      <protection hidden="1"/>
    </xf>
    <xf numFmtId="0" fontId="26" fillId="3" borderId="6" xfId="1" applyFont="1" applyFill="1" applyBorder="1" applyAlignment="1" applyProtection="1">
      <alignment horizontal="left" vertical="center" wrapText="1"/>
      <protection hidden="1"/>
    </xf>
    <xf numFmtId="0" fontId="26" fillId="3" borderId="5" xfId="1" applyFont="1" applyFill="1" applyBorder="1" applyAlignment="1" applyProtection="1">
      <alignment horizontal="left" vertical="center" wrapText="1"/>
      <protection hidden="1"/>
    </xf>
    <xf numFmtId="0" fontId="26" fillId="3" borderId="29" xfId="1" applyFont="1" applyFill="1" applyBorder="1" applyAlignment="1" applyProtection="1">
      <alignment horizontal="left" vertical="center" wrapText="1"/>
      <protection hidden="1"/>
    </xf>
    <xf numFmtId="0" fontId="26" fillId="3" borderId="15" xfId="1" applyFont="1" applyFill="1" applyBorder="1" applyAlignment="1" applyProtection="1">
      <alignment horizontal="left" vertical="center" wrapText="1"/>
      <protection hidden="1"/>
    </xf>
    <xf numFmtId="0" fontId="43" fillId="2" borderId="14" xfId="31" applyFont="1" applyFill="1" applyBorder="1" applyAlignment="1" applyProtection="1">
      <alignment horizontal="center" vertical="center"/>
      <protection hidden="1"/>
    </xf>
    <xf numFmtId="0" fontId="43" fillId="2" borderId="4" xfId="31" applyFont="1" applyFill="1" applyBorder="1" applyAlignment="1" applyProtection="1">
      <alignment horizontal="center" vertical="center"/>
      <protection hidden="1"/>
    </xf>
    <xf numFmtId="0" fontId="43" fillId="2" borderId="21" xfId="31" applyFont="1" applyFill="1" applyBorder="1" applyAlignment="1" applyProtection="1">
      <alignment horizontal="center" vertical="center"/>
      <protection hidden="1"/>
    </xf>
    <xf numFmtId="177" fontId="26" fillId="4" borderId="16" xfId="32" applyNumberFormat="1" applyFont="1" applyFill="1" applyBorder="1" applyAlignment="1" applyProtection="1">
      <alignment horizontal="center" vertical="center"/>
      <protection locked="0"/>
    </xf>
    <xf numFmtId="177" fontId="26" fillId="4" borderId="4" xfId="32" applyNumberFormat="1" applyFont="1" applyFill="1" applyBorder="1" applyAlignment="1" applyProtection="1">
      <alignment horizontal="center" vertical="center"/>
      <protection locked="0"/>
    </xf>
    <xf numFmtId="177" fontId="26" fillId="4" borderId="22" xfId="32" applyNumberFormat="1" applyFont="1" applyFill="1" applyBorder="1" applyAlignment="1" applyProtection="1">
      <alignment horizontal="center" vertical="center"/>
      <protection locked="0"/>
    </xf>
    <xf numFmtId="181" fontId="44" fillId="0" borderId="2" xfId="0" applyNumberFormat="1" applyFont="1" applyBorder="1" applyProtection="1">
      <alignment vertical="center"/>
      <protection hidden="1"/>
    </xf>
    <xf numFmtId="0" fontId="15" fillId="0" borderId="0" xfId="0" applyFont="1" applyAlignment="1" applyProtection="1">
      <alignment horizontal="left"/>
      <protection hidden="1"/>
    </xf>
    <xf numFmtId="181" fontId="44" fillId="0" borderId="2" xfId="0" applyNumberFormat="1" applyFont="1" applyBorder="1" applyAlignment="1" applyProtection="1">
      <alignment horizontal="left" vertical="center"/>
      <protection hidden="1"/>
    </xf>
    <xf numFmtId="0" fontId="44" fillId="0" borderId="2" xfId="0" applyFont="1" applyBorder="1" applyAlignment="1" applyProtection="1">
      <alignment horizontal="left" vertical="center"/>
      <protection hidden="1"/>
    </xf>
    <xf numFmtId="0" fontId="44" fillId="2" borderId="34" xfId="1" applyFont="1" applyFill="1" applyBorder="1" applyAlignment="1" applyProtection="1">
      <alignment horizontal="center" vertical="center" wrapText="1"/>
      <protection hidden="1"/>
    </xf>
    <xf numFmtId="0" fontId="44" fillId="2" borderId="35" xfId="1" applyFont="1" applyFill="1" applyBorder="1" applyAlignment="1" applyProtection="1">
      <alignment horizontal="center" vertical="center" wrapText="1"/>
      <protection hidden="1"/>
    </xf>
    <xf numFmtId="0" fontId="44" fillId="2" borderId="40" xfId="1" applyFont="1" applyFill="1" applyBorder="1" applyAlignment="1" applyProtection="1">
      <alignment horizontal="center" vertical="center" wrapText="1"/>
      <protection hidden="1"/>
    </xf>
    <xf numFmtId="0" fontId="44" fillId="2" borderId="36" xfId="1" applyFont="1" applyFill="1" applyBorder="1" applyAlignment="1" applyProtection="1">
      <alignment horizontal="center" vertical="center" wrapText="1"/>
      <protection hidden="1"/>
    </xf>
    <xf numFmtId="0" fontId="44" fillId="2" borderId="37" xfId="1" applyFont="1" applyFill="1" applyBorder="1" applyAlignment="1" applyProtection="1">
      <alignment horizontal="center" vertical="center" wrapText="1"/>
      <protection hidden="1"/>
    </xf>
    <xf numFmtId="0" fontId="44" fillId="2" borderId="41" xfId="1" applyFont="1" applyFill="1" applyBorder="1" applyAlignment="1" applyProtection="1">
      <alignment horizontal="center" vertical="center" wrapText="1"/>
      <protection hidden="1"/>
    </xf>
    <xf numFmtId="0" fontId="44" fillId="2" borderId="38" xfId="1" applyFont="1" applyFill="1" applyBorder="1" applyAlignment="1" applyProtection="1">
      <alignment horizontal="center" vertical="center" wrapText="1"/>
      <protection hidden="1"/>
    </xf>
    <xf numFmtId="0" fontId="44" fillId="2" borderId="39" xfId="1" applyFont="1" applyFill="1" applyBorder="1" applyAlignment="1" applyProtection="1">
      <alignment horizontal="center" vertical="center" wrapText="1"/>
      <protection hidden="1"/>
    </xf>
    <xf numFmtId="0" fontId="44" fillId="2" borderId="42" xfId="1" applyFont="1" applyFill="1" applyBorder="1" applyAlignment="1" applyProtection="1">
      <alignment horizontal="center" vertical="center" wrapText="1"/>
      <protection hidden="1"/>
    </xf>
    <xf numFmtId="0" fontId="26" fillId="4" borderId="20" xfId="1" applyFont="1" applyFill="1" applyBorder="1" applyProtection="1">
      <alignment vertical="center"/>
      <protection locked="0"/>
    </xf>
    <xf numFmtId="0" fontId="26" fillId="4" borderId="1" xfId="1" applyFont="1" applyFill="1" applyBorder="1" applyProtection="1">
      <alignment vertical="center"/>
      <protection locked="0"/>
    </xf>
    <xf numFmtId="0" fontId="16" fillId="4" borderId="0" xfId="1" applyFont="1" applyFill="1" applyAlignment="1" applyProtection="1">
      <alignment horizontal="center" vertical="center"/>
      <protection locked="0"/>
    </xf>
    <xf numFmtId="0" fontId="16" fillId="4" borderId="11" xfId="1" applyFont="1" applyFill="1" applyBorder="1" applyProtection="1">
      <alignment vertical="center"/>
      <protection locked="0"/>
    </xf>
    <xf numFmtId="0" fontId="16" fillId="4" borderId="0" xfId="1" applyFont="1" applyFill="1" applyProtection="1">
      <alignment vertical="center"/>
      <protection locked="0"/>
    </xf>
    <xf numFmtId="0" fontId="16" fillId="4" borderId="12" xfId="1" applyFont="1" applyFill="1" applyBorder="1" applyProtection="1">
      <alignment vertical="center"/>
      <protection locked="0"/>
    </xf>
    <xf numFmtId="0" fontId="16" fillId="4" borderId="2" xfId="1" applyFont="1" applyFill="1" applyBorder="1" applyProtection="1">
      <alignment vertical="center"/>
      <protection locked="0"/>
    </xf>
    <xf numFmtId="178" fontId="16" fillId="4" borderId="0" xfId="14" applyNumberFormat="1" applyFont="1" applyFill="1" applyProtection="1">
      <alignment vertical="center"/>
      <protection hidden="1"/>
    </xf>
    <xf numFmtId="0" fontId="16" fillId="4" borderId="2" xfId="1" applyFont="1" applyFill="1" applyBorder="1" applyProtection="1">
      <alignment vertical="center"/>
      <protection hidden="1"/>
    </xf>
  </cellXfs>
  <cellStyles count="62">
    <cellStyle name="ハイパーリンク" xfId="11" builtinId="8"/>
    <cellStyle name="桁区切り" xfId="6" builtinId="6"/>
    <cellStyle name="桁区切り 2" xfId="2" xr:uid="{00000000-0005-0000-0000-000002000000}"/>
    <cellStyle name="桁区切り 2 2" xfId="25" xr:uid="{00000000-0005-0000-0000-000003000000}"/>
    <cellStyle name="桁区切り 2 2 2" xfId="50" xr:uid="{9263DAF3-70C4-4746-8ADE-1306F6766C24}"/>
    <cellStyle name="桁区切り 2 3" xfId="33" xr:uid="{DFC0E085-43C0-4FA8-A01F-DB57377041B6}"/>
    <cellStyle name="桁区切り 3" xfId="8" xr:uid="{00000000-0005-0000-0000-000004000000}"/>
    <cellStyle name="桁区切り 4" xfId="30" xr:uid="{E3E5F097-9790-4A03-A4B0-3A1CBA318E90}"/>
    <cellStyle name="桁区切り 4 2" xfId="55" xr:uid="{1EDD29C1-ED00-4C73-90BB-08818EF8F653}"/>
    <cellStyle name="標準" xfId="0" builtinId="0"/>
    <cellStyle name="標準 2" xfId="1" xr:uid="{00000000-0005-0000-0000-000006000000}"/>
    <cellStyle name="標準 2 11" xfId="31" xr:uid="{7C152909-0E9F-4CD4-B465-96D568DF4B00}"/>
    <cellStyle name="標準 2 11 2" xfId="58" xr:uid="{C8C0E9EA-F3F5-4C61-8328-65A8A01C8E4A}"/>
    <cellStyle name="標準 2 2" xfId="3" xr:uid="{00000000-0005-0000-0000-000007000000}"/>
    <cellStyle name="標準 2 2 2" xfId="10" xr:uid="{00000000-0005-0000-0000-000008000000}"/>
    <cellStyle name="標準 2 2 2 2" xfId="16" xr:uid="{00000000-0005-0000-0000-000009000000}"/>
    <cellStyle name="標準 2 2 2 2 2" xfId="23" xr:uid="{00000000-0005-0000-0000-00000A000000}"/>
    <cellStyle name="標準 2 2 2 2 2 2" xfId="48" xr:uid="{65B18B6D-3A47-4C73-BCAD-9D25F01CD952}"/>
    <cellStyle name="標準 2 2 2 2 3" xfId="42" xr:uid="{393D6336-FDA4-4463-8D83-58CDD81C7A52}"/>
    <cellStyle name="標準 2 2 2 3" xfId="38" xr:uid="{1BC19A8C-2A89-4B6D-8486-D0C69C28CFE4}"/>
    <cellStyle name="標準 2 2 3" xfId="13" xr:uid="{00000000-0005-0000-0000-00000B000000}"/>
    <cellStyle name="標準 2 2 3 2" xfId="24" xr:uid="{00000000-0005-0000-0000-00000C000000}"/>
    <cellStyle name="標準 2 2 3 2 2" xfId="49" xr:uid="{5282452B-5B3D-43EF-8880-4252DA8FF644}"/>
    <cellStyle name="標準 2 2 3 3" xfId="39" xr:uid="{2248E964-3223-409D-A3A4-4AC25C533A8B}"/>
    <cellStyle name="標準 2 2 4" xfId="15" xr:uid="{00000000-0005-0000-0000-00000D000000}"/>
    <cellStyle name="標準 2 2 4 2" xfId="22" xr:uid="{00000000-0005-0000-0000-00000E000000}"/>
    <cellStyle name="標準 2 2 4 2 2" xfId="47" xr:uid="{A9A0F238-1040-4575-899C-9EA0222B844B}"/>
    <cellStyle name="標準 2 2 4 3" xfId="41" xr:uid="{D8363390-0EAA-4396-A983-16372CBD4D16}"/>
    <cellStyle name="標準 2 2 5" xfId="19" xr:uid="{00000000-0005-0000-0000-00000F000000}"/>
    <cellStyle name="標準 2 2 5 2" xfId="44" xr:uid="{128D9A99-5FC2-4556-94F5-A3750C78C73F}"/>
    <cellStyle name="標準 2 2 6" xfId="34" xr:uid="{39505CA7-5386-46E6-9F59-9834F0DD59E9}"/>
    <cellStyle name="標準 2 2 7" xfId="61" xr:uid="{69BE7920-1BAC-4512-A370-1F5E56BC9B90}"/>
    <cellStyle name="標準 2 3" xfId="4" xr:uid="{00000000-0005-0000-0000-000010000000}"/>
    <cellStyle name="標準 2 3 2" xfId="26" xr:uid="{00000000-0005-0000-0000-000011000000}"/>
    <cellStyle name="標準 2 3 2 2" xfId="51" xr:uid="{70312F68-52F8-4FB3-BAE1-CC870F21CE22}"/>
    <cellStyle name="標準 2 3 3" xfId="35" xr:uid="{796F59D0-971A-44AA-A366-580A53860646}"/>
    <cellStyle name="標準 2 4" xfId="5" xr:uid="{00000000-0005-0000-0000-000012000000}"/>
    <cellStyle name="標準 2 4 2" xfId="27" xr:uid="{00000000-0005-0000-0000-000013000000}"/>
    <cellStyle name="標準 2 4 2 2" xfId="52" xr:uid="{663A0779-231E-44D0-A3E4-7B7CF336DFF3}"/>
    <cellStyle name="標準 2 4 3" xfId="36" xr:uid="{4830F187-076D-4A93-BF81-176D1FB10A2A}"/>
    <cellStyle name="標準 2 5" xfId="9" xr:uid="{00000000-0005-0000-0000-000014000000}"/>
    <cellStyle name="標準 2 5 2" xfId="28" xr:uid="{00000000-0005-0000-0000-000015000000}"/>
    <cellStyle name="標準 2 5 2 2" xfId="53" xr:uid="{0F0B4CBF-32D5-4621-B66F-FBDFEDD049E8}"/>
    <cellStyle name="標準 2 5 3" xfId="37" xr:uid="{95D11899-38CF-4E96-89B2-8A0694112CEB}"/>
    <cellStyle name="標準 2 6" xfId="12" xr:uid="{00000000-0005-0000-0000-000016000000}"/>
    <cellStyle name="標準 2 6 2" xfId="17" xr:uid="{00000000-0005-0000-0000-000017000000}"/>
    <cellStyle name="標準 2 6 2 2" xfId="20" xr:uid="{00000000-0005-0000-0000-000018000000}"/>
    <cellStyle name="標準 2 6 2 2 2" xfId="45" xr:uid="{143ACC0D-BB32-4697-A869-4B81142D9C4E}"/>
    <cellStyle name="標準 2 6 2 5" xfId="32" xr:uid="{E0075415-DB4F-487E-A101-C374F03A90AF}"/>
    <cellStyle name="標準 2 6 2 5 2" xfId="59" xr:uid="{95348687-DACC-4C8E-8653-6BD70CE9EABA}"/>
    <cellStyle name="標準 2 7" xfId="14" xr:uid="{00000000-0005-0000-0000-000019000000}"/>
    <cellStyle name="標準 2 7 2" xfId="21" xr:uid="{00000000-0005-0000-0000-00001A000000}"/>
    <cellStyle name="標準 2 7 2 2" xfId="46" xr:uid="{B6E49CB1-A45A-4474-BD55-4AD51F3190EC}"/>
    <cellStyle name="標準 2 7 2 3" xfId="60" xr:uid="{8F5C0385-C87D-4FFC-82B1-A9668FCA6717}"/>
    <cellStyle name="標準 2 7 3" xfId="40" xr:uid="{E9CC5A60-7ACA-467A-99EB-2D160FBC9AE0}"/>
    <cellStyle name="標準 2 7 4" xfId="57" xr:uid="{F2F35F80-06CB-44F8-8573-F42C42FC41F7}"/>
    <cellStyle name="標準 2 8" xfId="18" xr:uid="{00000000-0005-0000-0000-00001B000000}"/>
    <cellStyle name="標準 2 8 2" xfId="43" xr:uid="{0680F83D-E92F-4C48-84A5-83AD5EF34A9B}"/>
    <cellStyle name="標準 2 9" xfId="56" xr:uid="{FFD01CFC-13B4-48FC-9FE4-C7EFB61339D0}"/>
    <cellStyle name="標準 3" xfId="7" xr:uid="{00000000-0005-0000-0000-00001C000000}"/>
    <cellStyle name="標準 4" xfId="29" xr:uid="{67000272-CFE7-442B-92A2-892B94D67BB2}"/>
    <cellStyle name="標準 4 2" xfId="54" xr:uid="{CD2234E3-92FA-47A5-ACF2-F1F6CD3CC693}"/>
  </cellStyles>
  <dxfs count="3">
    <dxf>
      <fill>
        <patternFill>
          <bgColor rgb="FFFFFFE5"/>
        </patternFill>
      </fill>
    </dxf>
    <dxf>
      <fill>
        <patternFill>
          <bgColor rgb="FFFFFF00"/>
        </patternFill>
      </fill>
    </dxf>
    <dxf>
      <fill>
        <patternFill>
          <bgColor theme="0" tint="-0.14996795556505021"/>
        </patternFill>
      </fill>
    </dxf>
  </dxfs>
  <tableStyles count="0" defaultTableStyle="TableStyleMedium9" defaultPivotStyle="PivotStyleLight16"/>
  <colors>
    <mruColors>
      <color rgb="FF9999FF"/>
      <color rgb="FFFFFF99"/>
      <color rgb="FFFFFFE5"/>
      <color rgb="FFFFFFCC"/>
      <color rgb="FFFF00FF"/>
      <color rgb="FFFFCCCC"/>
      <color rgb="FFFFFF66"/>
      <color rgb="FF0000FF"/>
      <color rgb="FF4BAC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atgo.rgsis.com/index.php/rules/" TargetMode="External"/><Relationship Id="rId13" Type="http://schemas.openxmlformats.org/officeDocument/2006/relationships/hyperlink" Target="https://legal.onetrust.com/" TargetMode="External"/><Relationship Id="rId18" Type="http://schemas.openxmlformats.org/officeDocument/2006/relationships/vmlDrawing" Target="../drawings/vmlDrawing2.vml"/><Relationship Id="rId3" Type="http://schemas.openxmlformats.org/officeDocument/2006/relationships/hyperlink" Target="https://www.atlassian.com/legal/atlassian-customer-agreement" TargetMode="External"/><Relationship Id="rId7" Type="http://schemas.openxmlformats.org/officeDocument/2006/relationships/hyperlink" Target="https://miro.com/legal/master-cloud-agreement/" TargetMode="External"/><Relationship Id="rId12" Type="http://schemas.openxmlformats.org/officeDocument/2006/relationships/hyperlink" Target="https://www.microsoft.com/licensing/docs/customeragreement" TargetMode="External"/><Relationship Id="rId17" Type="http://schemas.openxmlformats.org/officeDocument/2006/relationships/vmlDrawing" Target="../drawings/vmlDrawing1.vml"/><Relationship Id="rId2" Type="http://schemas.openxmlformats.org/officeDocument/2006/relationships/hyperlink" Target="https://aslead.nri.co.jp/aslead_services_policy.pdf" TargetMode="External"/><Relationship Id="rId16" Type="http://schemas.openxmlformats.org/officeDocument/2006/relationships/printerSettings" Target="../printerSettings/printerSettings2.bin"/><Relationship Id="rId1" Type="http://schemas.openxmlformats.org/officeDocument/2006/relationships/hyperlink" Target="https://www.atlassian.com/legal/customer-agreement" TargetMode="External"/><Relationship Id="rId6" Type="http://schemas.openxmlformats.org/officeDocument/2006/relationships/hyperlink" Target="https://www.elastic.co/agreements/global/self-managed" TargetMode="External"/><Relationship Id="rId11" Type="http://schemas.openxmlformats.org/officeDocument/2006/relationships/hyperlink" Target="https://www.keysight.com/jp/ja/assets/ndx/9018-08126/exhibits/9018-08126.pdf" TargetMode="External"/><Relationship Id="rId5" Type="http://schemas.openxmlformats.org/officeDocument/2006/relationships/hyperlink" Target="https://mattermost.com/software-services-license-agreement/" TargetMode="External"/><Relationship Id="rId15" Type="http://schemas.openxmlformats.org/officeDocument/2006/relationships/hyperlink" Target="https://www.notion.so/notion/master-subscription-agreement" TargetMode="External"/><Relationship Id="rId10" Type="http://schemas.openxmlformats.org/officeDocument/2006/relationships/hyperlink" Target="https://jp.josys.com/terms" TargetMode="External"/><Relationship Id="rId19" Type="http://schemas.openxmlformats.org/officeDocument/2006/relationships/comments" Target="../comments1.xml"/><Relationship Id="rId4" Type="http://schemas.openxmlformats.org/officeDocument/2006/relationships/hyperlink" Target="https://aslead.nri.co.jp/aslead_services_general_information.pdf" TargetMode="External"/><Relationship Id="rId9" Type="http://schemas.openxmlformats.org/officeDocument/2006/relationships/hyperlink" Target="https://about.gitlab.com/handbook/legal/subscription-agreement/" TargetMode="External"/><Relationship Id="rId14" Type="http://schemas.openxmlformats.org/officeDocument/2006/relationships/hyperlink" Target="https://autify.com/ja/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198-C3FB-4465-B018-6A05F268A278}">
  <sheetPr codeName="Sheet1">
    <tabColor rgb="FFFF0000"/>
  </sheetPr>
  <dimension ref="A1:G68"/>
  <sheetViews>
    <sheetView showGridLines="0" zoomScaleNormal="100" workbookViewId="0"/>
  </sheetViews>
  <sheetFormatPr defaultColWidth="9" defaultRowHeight="13.2" x14ac:dyDescent="0.2"/>
  <cols>
    <col min="1" max="1" width="2.44140625" style="172" customWidth="1"/>
    <col min="2" max="2" width="16.88671875" style="172" customWidth="1"/>
    <col min="3" max="3" width="11.6640625" style="173" bestFit="1" customWidth="1"/>
    <col min="4" max="4" width="47.109375" style="172" bestFit="1" customWidth="1"/>
    <col min="5" max="6" width="9" style="178"/>
    <col min="7" max="16384" width="9" style="172"/>
  </cols>
  <sheetData>
    <row r="1" spans="1:6" x14ac:dyDescent="0.2">
      <c r="A1" s="171"/>
    </row>
    <row r="2" spans="1:6" x14ac:dyDescent="0.2">
      <c r="B2" s="172" t="s">
        <v>115</v>
      </c>
    </row>
    <row r="3" spans="1:6" x14ac:dyDescent="0.2">
      <c r="B3" s="174" t="s">
        <v>14</v>
      </c>
      <c r="C3" s="175" t="s">
        <v>15</v>
      </c>
      <c r="D3" s="174" t="s">
        <v>16</v>
      </c>
      <c r="E3" s="179" t="s">
        <v>18</v>
      </c>
      <c r="F3" s="179" t="s">
        <v>17</v>
      </c>
    </row>
    <row r="4" spans="1:6" ht="30" hidden="1" customHeight="1" x14ac:dyDescent="0.2">
      <c r="B4" s="143"/>
      <c r="C4" s="168"/>
      <c r="D4" s="145"/>
      <c r="E4" s="170"/>
      <c r="F4" s="170"/>
    </row>
    <row r="5" spans="1:6" ht="83.1" customHeight="1" x14ac:dyDescent="0.2">
      <c r="B5" s="143" t="s">
        <v>209</v>
      </c>
      <c r="C5" s="168">
        <v>46013</v>
      </c>
      <c r="D5" s="145" t="s">
        <v>210</v>
      </c>
      <c r="E5" s="170" t="s">
        <v>128</v>
      </c>
      <c r="F5" s="170" t="s">
        <v>129</v>
      </c>
    </row>
    <row r="6" spans="1:6" ht="45" customHeight="1" x14ac:dyDescent="0.2">
      <c r="B6" s="143" t="s">
        <v>204</v>
      </c>
      <c r="C6" s="168">
        <v>45933</v>
      </c>
      <c r="D6" s="145" t="s">
        <v>205</v>
      </c>
      <c r="E6" s="170" t="s">
        <v>128</v>
      </c>
      <c r="F6" s="170" t="s">
        <v>129</v>
      </c>
    </row>
    <row r="7" spans="1:6" ht="45" customHeight="1" x14ac:dyDescent="0.2">
      <c r="B7" s="143" t="s">
        <v>200</v>
      </c>
      <c r="C7" s="168">
        <v>45868</v>
      </c>
      <c r="D7" s="145" t="s">
        <v>202</v>
      </c>
      <c r="E7" s="170" t="s">
        <v>128</v>
      </c>
      <c r="F7" s="170" t="s">
        <v>129</v>
      </c>
    </row>
    <row r="8" spans="1:6" ht="20.100000000000001" customHeight="1" x14ac:dyDescent="0.2">
      <c r="B8" s="143" t="s">
        <v>193</v>
      </c>
      <c r="C8" s="168">
        <v>45863</v>
      </c>
      <c r="D8" s="145" t="s">
        <v>194</v>
      </c>
      <c r="E8" s="170" t="s">
        <v>128</v>
      </c>
      <c r="F8" s="170" t="s">
        <v>129</v>
      </c>
    </row>
    <row r="9" spans="1:6" ht="20.100000000000001" customHeight="1" x14ac:dyDescent="0.2">
      <c r="B9" s="143" t="s">
        <v>188</v>
      </c>
      <c r="C9" s="168">
        <v>45849</v>
      </c>
      <c r="D9" s="145" t="s">
        <v>189</v>
      </c>
      <c r="E9" s="170" t="s">
        <v>128</v>
      </c>
      <c r="F9" s="170" t="s">
        <v>129</v>
      </c>
    </row>
    <row r="10" spans="1:6" ht="30" customHeight="1" x14ac:dyDescent="0.2">
      <c r="B10" s="143" t="s">
        <v>183</v>
      </c>
      <c r="C10" s="168">
        <v>45840</v>
      </c>
      <c r="D10" s="145" t="s">
        <v>185</v>
      </c>
      <c r="E10" s="170" t="s">
        <v>128</v>
      </c>
      <c r="F10" s="170" t="s">
        <v>129</v>
      </c>
    </row>
    <row r="11" spans="1:6" ht="20.100000000000001" customHeight="1" x14ac:dyDescent="0.2">
      <c r="B11" s="143" t="s">
        <v>179</v>
      </c>
      <c r="C11" s="168">
        <v>45778</v>
      </c>
      <c r="D11" s="145" t="s">
        <v>180</v>
      </c>
      <c r="E11" s="170" t="s">
        <v>128</v>
      </c>
      <c r="F11" s="170" t="s">
        <v>129</v>
      </c>
    </row>
    <row r="12" spans="1:6" ht="20.100000000000001" customHeight="1" x14ac:dyDescent="0.2">
      <c r="B12" s="143" t="s">
        <v>175</v>
      </c>
      <c r="C12" s="168">
        <v>45672</v>
      </c>
      <c r="D12" s="145" t="s">
        <v>176</v>
      </c>
      <c r="E12" s="170" t="s">
        <v>128</v>
      </c>
      <c r="F12" s="170" t="s">
        <v>129</v>
      </c>
    </row>
    <row r="13" spans="1:6" ht="20.100000000000001" customHeight="1" x14ac:dyDescent="0.2">
      <c r="B13" s="143" t="s">
        <v>172</v>
      </c>
      <c r="C13" s="168">
        <v>45653</v>
      </c>
      <c r="D13" s="145" t="s">
        <v>173</v>
      </c>
      <c r="E13" s="170" t="s">
        <v>128</v>
      </c>
      <c r="F13" s="170" t="s">
        <v>129</v>
      </c>
    </row>
    <row r="14" spans="1:6" ht="30" customHeight="1" x14ac:dyDescent="0.2">
      <c r="B14" s="143" t="s">
        <v>169</v>
      </c>
      <c r="C14" s="168">
        <v>45611</v>
      </c>
      <c r="D14" s="145" t="s">
        <v>171</v>
      </c>
      <c r="E14" s="170" t="s">
        <v>128</v>
      </c>
      <c r="F14" s="170" t="s">
        <v>129</v>
      </c>
    </row>
    <row r="15" spans="1:6" ht="30" customHeight="1" x14ac:dyDescent="0.2">
      <c r="B15" s="143" t="s">
        <v>159</v>
      </c>
      <c r="C15" s="144">
        <v>45546</v>
      </c>
      <c r="D15" s="145" t="s">
        <v>158</v>
      </c>
      <c r="E15" s="170" t="s">
        <v>128</v>
      </c>
      <c r="F15" s="170" t="s">
        <v>129</v>
      </c>
    </row>
    <row r="16" spans="1:6" ht="20.100000000000001" customHeight="1" x14ac:dyDescent="0.2">
      <c r="B16" s="143" t="s">
        <v>152</v>
      </c>
      <c r="C16" s="144">
        <v>45509</v>
      </c>
      <c r="D16" s="145" t="s">
        <v>153</v>
      </c>
      <c r="E16" s="170" t="s">
        <v>128</v>
      </c>
      <c r="F16" s="170" t="s">
        <v>129</v>
      </c>
    </row>
    <row r="17" spans="2:7" ht="20.100000000000001" customHeight="1" x14ac:dyDescent="0.2">
      <c r="B17" s="143" t="s">
        <v>145</v>
      </c>
      <c r="C17" s="144">
        <v>45481</v>
      </c>
      <c r="D17" s="145" t="s">
        <v>138</v>
      </c>
      <c r="E17" s="170" t="s">
        <v>128</v>
      </c>
      <c r="F17" s="170" t="s">
        <v>129</v>
      </c>
    </row>
    <row r="18" spans="2:7" ht="20.100000000000001" customHeight="1" x14ac:dyDescent="0.2">
      <c r="B18" s="143" t="s">
        <v>144</v>
      </c>
      <c r="C18" s="168">
        <v>45440</v>
      </c>
      <c r="D18" s="145" t="s">
        <v>131</v>
      </c>
      <c r="E18" s="170" t="s">
        <v>128</v>
      </c>
      <c r="F18" s="170" t="s">
        <v>129</v>
      </c>
    </row>
    <row r="19" spans="2:7" s="176" customFormat="1" ht="20.100000000000001" customHeight="1" x14ac:dyDescent="0.2">
      <c r="B19" s="143" t="s">
        <v>143</v>
      </c>
      <c r="C19" s="144">
        <v>45406</v>
      </c>
      <c r="D19" s="145" t="s">
        <v>130</v>
      </c>
      <c r="E19" s="170" t="s">
        <v>128</v>
      </c>
      <c r="F19" s="170" t="s">
        <v>129</v>
      </c>
      <c r="G19" s="172"/>
    </row>
    <row r="20" spans="2:7" s="176" customFormat="1" ht="20.100000000000001" customHeight="1" x14ac:dyDescent="0.2">
      <c r="B20" s="143" t="s">
        <v>142</v>
      </c>
      <c r="C20" s="144">
        <v>45359</v>
      </c>
      <c r="D20" s="145" t="s">
        <v>127</v>
      </c>
      <c r="E20" s="170" t="s">
        <v>128</v>
      </c>
      <c r="F20" s="170" t="s">
        <v>129</v>
      </c>
      <c r="G20" s="172"/>
    </row>
    <row r="21" spans="2:7" s="176" customFormat="1" ht="20.100000000000001" customHeight="1" x14ac:dyDescent="0.2">
      <c r="B21" s="143" t="s">
        <v>120</v>
      </c>
      <c r="C21" s="144">
        <v>45301</v>
      </c>
      <c r="D21" s="145" t="s">
        <v>119</v>
      </c>
      <c r="E21" s="170" t="s">
        <v>128</v>
      </c>
      <c r="F21" s="170" t="s">
        <v>129</v>
      </c>
      <c r="G21" s="172"/>
    </row>
    <row r="22" spans="2:7" s="176" customFormat="1" ht="20.100000000000001" customHeight="1" x14ac:dyDescent="0.2">
      <c r="B22" s="143" t="s">
        <v>112</v>
      </c>
      <c r="C22" s="144">
        <v>45287</v>
      </c>
      <c r="D22" s="145" t="s">
        <v>111</v>
      </c>
      <c r="E22" s="170" t="s">
        <v>128</v>
      </c>
      <c r="F22" s="170" t="s">
        <v>129</v>
      </c>
      <c r="G22" s="172"/>
    </row>
    <row r="23" spans="2:7" s="176" customFormat="1" ht="20.100000000000001" customHeight="1" x14ac:dyDescent="0.2">
      <c r="B23" s="143" t="s">
        <v>108</v>
      </c>
      <c r="C23" s="144">
        <v>45265</v>
      </c>
      <c r="D23" s="145" t="s">
        <v>107</v>
      </c>
      <c r="E23" s="170" t="s">
        <v>128</v>
      </c>
      <c r="F23" s="170" t="s">
        <v>129</v>
      </c>
      <c r="G23" s="172"/>
    </row>
    <row r="24" spans="2:7" s="176" customFormat="1" ht="30" customHeight="1" x14ac:dyDescent="0.2">
      <c r="B24" s="143" t="s">
        <v>100</v>
      </c>
      <c r="C24" s="144">
        <v>45246</v>
      </c>
      <c r="D24" s="145" t="s">
        <v>106</v>
      </c>
      <c r="E24" s="170" t="s">
        <v>128</v>
      </c>
      <c r="F24" s="170" t="s">
        <v>129</v>
      </c>
      <c r="G24" s="172"/>
    </row>
    <row r="25" spans="2:7" s="176" customFormat="1" ht="20.100000000000001" customHeight="1" x14ac:dyDescent="0.2">
      <c r="B25" s="143" t="s">
        <v>96</v>
      </c>
      <c r="C25" s="144">
        <v>45232</v>
      </c>
      <c r="D25" s="145" t="s">
        <v>95</v>
      </c>
      <c r="E25" s="170" t="s">
        <v>128</v>
      </c>
      <c r="F25" s="170" t="s">
        <v>129</v>
      </c>
      <c r="G25" s="172"/>
    </row>
    <row r="26" spans="2:7" s="176" customFormat="1" ht="20.100000000000001" customHeight="1" x14ac:dyDescent="0.2">
      <c r="B26" s="143" t="s">
        <v>88</v>
      </c>
      <c r="C26" s="144">
        <v>45224</v>
      </c>
      <c r="D26" s="145" t="s">
        <v>91</v>
      </c>
      <c r="E26" s="170" t="s">
        <v>128</v>
      </c>
      <c r="F26" s="170" t="s">
        <v>129</v>
      </c>
      <c r="G26" s="172"/>
    </row>
    <row r="27" spans="2:7" s="176" customFormat="1" ht="20.100000000000001" customHeight="1" x14ac:dyDescent="0.2">
      <c r="B27" s="143" t="s">
        <v>83</v>
      </c>
      <c r="C27" s="144">
        <v>45218</v>
      </c>
      <c r="D27" s="145" t="s">
        <v>84</v>
      </c>
      <c r="E27" s="170" t="s">
        <v>128</v>
      </c>
      <c r="F27" s="170" t="s">
        <v>129</v>
      </c>
      <c r="G27" s="172"/>
    </row>
    <row r="28" spans="2:7" s="176" customFormat="1" ht="20.100000000000001" customHeight="1" x14ac:dyDescent="0.2">
      <c r="B28" s="143" t="s">
        <v>77</v>
      </c>
      <c r="C28" s="144">
        <v>45163</v>
      </c>
      <c r="D28" s="145" t="s">
        <v>75</v>
      </c>
      <c r="E28" s="170" t="s">
        <v>128</v>
      </c>
      <c r="F28" s="170" t="s">
        <v>129</v>
      </c>
      <c r="G28" s="172"/>
    </row>
    <row r="29" spans="2:7" s="176" customFormat="1" ht="20.100000000000001" customHeight="1" x14ac:dyDescent="0.2">
      <c r="B29" s="143" t="s">
        <v>50</v>
      </c>
      <c r="C29" s="144">
        <v>45078</v>
      </c>
      <c r="D29" s="145" t="s">
        <v>19</v>
      </c>
      <c r="E29" s="170" t="s">
        <v>128</v>
      </c>
      <c r="F29" s="170" t="s">
        <v>129</v>
      </c>
      <c r="G29" s="172"/>
    </row>
    <row r="30" spans="2:7" s="176" customFormat="1" ht="20.100000000000001" customHeight="1" x14ac:dyDescent="0.2">
      <c r="C30" s="173"/>
      <c r="D30" s="177"/>
      <c r="E30" s="180"/>
      <c r="F30" s="180"/>
    </row>
    <row r="31" spans="2:7" s="176" customFormat="1" x14ac:dyDescent="0.2">
      <c r="C31" s="173"/>
      <c r="D31" s="177"/>
      <c r="E31" s="180"/>
      <c r="F31" s="180"/>
    </row>
    <row r="32" spans="2:7" x14ac:dyDescent="0.2">
      <c r="B32" s="172" t="s">
        <v>114</v>
      </c>
    </row>
    <row r="33" spans="2:6" x14ac:dyDescent="0.2">
      <c r="B33" s="174" t="s">
        <v>14</v>
      </c>
      <c r="C33" s="175" t="s">
        <v>15</v>
      </c>
      <c r="D33" s="174" t="s">
        <v>16</v>
      </c>
      <c r="E33" s="179" t="s">
        <v>18</v>
      </c>
      <c r="F33" s="179" t="s">
        <v>17</v>
      </c>
    </row>
    <row r="34" spans="2:6" ht="30" hidden="1" customHeight="1" x14ac:dyDescent="0.2">
      <c r="B34" s="143"/>
      <c r="C34" s="168"/>
      <c r="D34" s="143"/>
      <c r="E34" s="170"/>
      <c r="F34" s="170"/>
    </row>
    <row r="35" spans="2:6" ht="83.1" customHeight="1" x14ac:dyDescent="0.2">
      <c r="B35" s="143" t="s">
        <v>211</v>
      </c>
      <c r="C35" s="168">
        <v>46013</v>
      </c>
      <c r="D35" s="145" t="s">
        <v>210</v>
      </c>
      <c r="E35" s="170" t="s">
        <v>128</v>
      </c>
      <c r="F35" s="170" t="s">
        <v>129</v>
      </c>
    </row>
    <row r="36" spans="2:6" ht="45" customHeight="1" x14ac:dyDescent="0.2">
      <c r="B36" s="143" t="s">
        <v>206</v>
      </c>
      <c r="C36" s="168">
        <v>45933</v>
      </c>
      <c r="D36" s="145" t="s">
        <v>205</v>
      </c>
      <c r="E36" s="170" t="s">
        <v>128</v>
      </c>
      <c r="F36" s="170" t="s">
        <v>129</v>
      </c>
    </row>
    <row r="37" spans="2:6" ht="45" customHeight="1" x14ac:dyDescent="0.2">
      <c r="B37" s="143" t="s">
        <v>201</v>
      </c>
      <c r="C37" s="168">
        <v>45868</v>
      </c>
      <c r="D37" s="145" t="s">
        <v>203</v>
      </c>
      <c r="E37" s="170" t="s">
        <v>128</v>
      </c>
      <c r="F37" s="170" t="s">
        <v>129</v>
      </c>
    </row>
    <row r="38" spans="2:6" ht="20.100000000000001" customHeight="1" x14ac:dyDescent="0.2">
      <c r="B38" s="143" t="s">
        <v>195</v>
      </c>
      <c r="C38" s="168">
        <v>45863</v>
      </c>
      <c r="D38" s="145" t="s">
        <v>194</v>
      </c>
      <c r="E38" s="170" t="s">
        <v>128</v>
      </c>
      <c r="F38" s="170" t="s">
        <v>129</v>
      </c>
    </row>
    <row r="39" spans="2:6" ht="20.100000000000001" customHeight="1" x14ac:dyDescent="0.2">
      <c r="B39" s="143" t="s">
        <v>190</v>
      </c>
      <c r="C39" s="168">
        <v>45849</v>
      </c>
      <c r="D39" s="145" t="s">
        <v>189</v>
      </c>
      <c r="E39" s="170" t="s">
        <v>128</v>
      </c>
      <c r="F39" s="170" t="s">
        <v>129</v>
      </c>
    </row>
    <row r="40" spans="2:6" ht="30" customHeight="1" x14ac:dyDescent="0.2">
      <c r="B40" s="143" t="s">
        <v>182</v>
      </c>
      <c r="C40" s="144">
        <v>45840</v>
      </c>
      <c r="D40" s="145" t="s">
        <v>185</v>
      </c>
      <c r="E40" s="170" t="s">
        <v>128</v>
      </c>
      <c r="F40" s="170" t="s">
        <v>129</v>
      </c>
    </row>
    <row r="41" spans="2:6" ht="20.100000000000001" customHeight="1" x14ac:dyDescent="0.2">
      <c r="B41" s="143" t="s">
        <v>181</v>
      </c>
      <c r="C41" s="144">
        <v>45778</v>
      </c>
      <c r="D41" s="145" t="s">
        <v>180</v>
      </c>
      <c r="E41" s="170" t="s">
        <v>128</v>
      </c>
      <c r="F41" s="170" t="s">
        <v>129</v>
      </c>
    </row>
    <row r="42" spans="2:6" ht="20.100000000000001" customHeight="1" x14ac:dyDescent="0.2">
      <c r="B42" s="143" t="s">
        <v>177</v>
      </c>
      <c r="C42" s="144">
        <v>45672</v>
      </c>
      <c r="D42" s="145" t="s">
        <v>176</v>
      </c>
      <c r="E42" s="170" t="s">
        <v>128</v>
      </c>
      <c r="F42" s="170" t="s">
        <v>129</v>
      </c>
    </row>
    <row r="43" spans="2:6" ht="20.100000000000001" customHeight="1" x14ac:dyDescent="0.2">
      <c r="B43" s="143" t="s">
        <v>174</v>
      </c>
      <c r="C43" s="144">
        <v>45653</v>
      </c>
      <c r="D43" s="145" t="s">
        <v>173</v>
      </c>
      <c r="E43" s="170" t="s">
        <v>128</v>
      </c>
      <c r="F43" s="170" t="s">
        <v>129</v>
      </c>
    </row>
    <row r="44" spans="2:6" ht="30" customHeight="1" x14ac:dyDescent="0.2">
      <c r="B44" s="143" t="s">
        <v>170</v>
      </c>
      <c r="C44" s="168">
        <v>45611</v>
      </c>
      <c r="D44" s="145" t="s">
        <v>171</v>
      </c>
      <c r="E44" s="170" t="s">
        <v>128</v>
      </c>
      <c r="F44" s="170" t="s">
        <v>129</v>
      </c>
    </row>
    <row r="45" spans="2:6" ht="30" customHeight="1" x14ac:dyDescent="0.2">
      <c r="B45" s="143" t="s">
        <v>160</v>
      </c>
      <c r="C45" s="144">
        <v>45546</v>
      </c>
      <c r="D45" s="145" t="s">
        <v>158</v>
      </c>
      <c r="E45" s="170" t="s">
        <v>128</v>
      </c>
      <c r="F45" s="170" t="s">
        <v>129</v>
      </c>
    </row>
    <row r="46" spans="2:6" ht="20.100000000000001" customHeight="1" x14ac:dyDescent="0.2">
      <c r="B46" s="143" t="s">
        <v>154</v>
      </c>
      <c r="C46" s="144">
        <v>45509</v>
      </c>
      <c r="D46" s="145" t="s">
        <v>153</v>
      </c>
      <c r="E46" s="170" t="s">
        <v>128</v>
      </c>
      <c r="F46" s="170" t="s">
        <v>129</v>
      </c>
    </row>
    <row r="47" spans="2:6" ht="20.100000000000001" customHeight="1" x14ac:dyDescent="0.2">
      <c r="B47" s="143" t="s">
        <v>149</v>
      </c>
      <c r="C47" s="144">
        <v>45481</v>
      </c>
      <c r="D47" s="145" t="s">
        <v>138</v>
      </c>
      <c r="E47" s="170" t="s">
        <v>128</v>
      </c>
      <c r="F47" s="170" t="s">
        <v>129</v>
      </c>
    </row>
    <row r="48" spans="2:6" ht="20.100000000000001" customHeight="1" x14ac:dyDescent="0.2">
      <c r="B48" s="143" t="s">
        <v>148</v>
      </c>
      <c r="C48" s="168">
        <v>45440</v>
      </c>
      <c r="D48" s="145" t="s">
        <v>131</v>
      </c>
      <c r="E48" s="170" t="s">
        <v>128</v>
      </c>
      <c r="F48" s="170" t="s">
        <v>129</v>
      </c>
    </row>
    <row r="49" spans="2:7" ht="20.100000000000001" customHeight="1" x14ac:dyDescent="0.2">
      <c r="B49" s="143" t="s">
        <v>147</v>
      </c>
      <c r="C49" s="144">
        <v>45406</v>
      </c>
      <c r="D49" s="145" t="s">
        <v>130</v>
      </c>
      <c r="E49" s="170" t="s">
        <v>128</v>
      </c>
      <c r="F49" s="170" t="s">
        <v>129</v>
      </c>
    </row>
    <row r="50" spans="2:7" ht="20.100000000000001" customHeight="1" x14ac:dyDescent="0.2">
      <c r="B50" s="143" t="s">
        <v>146</v>
      </c>
      <c r="C50" s="144">
        <v>45359</v>
      </c>
      <c r="D50" s="145" t="s">
        <v>127</v>
      </c>
      <c r="E50" s="170" t="s">
        <v>128</v>
      </c>
      <c r="F50" s="170" t="s">
        <v>129</v>
      </c>
    </row>
    <row r="51" spans="2:7" ht="20.100000000000001" customHeight="1" x14ac:dyDescent="0.2">
      <c r="B51" s="143" t="s">
        <v>121</v>
      </c>
      <c r="C51" s="144">
        <v>45287</v>
      </c>
      <c r="D51" s="145" t="s">
        <v>119</v>
      </c>
      <c r="E51" s="170" t="s">
        <v>128</v>
      </c>
      <c r="F51" s="170" t="s">
        <v>129</v>
      </c>
    </row>
    <row r="52" spans="2:7" ht="20.100000000000001" customHeight="1" x14ac:dyDescent="0.2">
      <c r="B52" s="143" t="s">
        <v>113</v>
      </c>
      <c r="C52" s="144">
        <v>45287</v>
      </c>
      <c r="D52" s="145" t="s">
        <v>111</v>
      </c>
      <c r="E52" s="170" t="s">
        <v>128</v>
      </c>
      <c r="F52" s="170" t="s">
        <v>129</v>
      </c>
    </row>
    <row r="53" spans="2:7" ht="20.100000000000001" customHeight="1" x14ac:dyDescent="0.2">
      <c r="B53" s="143" t="s">
        <v>109</v>
      </c>
      <c r="C53" s="144">
        <v>45265</v>
      </c>
      <c r="D53" s="145" t="s">
        <v>107</v>
      </c>
      <c r="E53" s="170" t="s">
        <v>128</v>
      </c>
      <c r="F53" s="170" t="s">
        <v>129</v>
      </c>
    </row>
    <row r="54" spans="2:7" ht="30" customHeight="1" x14ac:dyDescent="0.2">
      <c r="B54" s="143" t="s">
        <v>101</v>
      </c>
      <c r="C54" s="144">
        <v>45246</v>
      </c>
      <c r="D54" s="145" t="s">
        <v>106</v>
      </c>
      <c r="E54" s="170" t="s">
        <v>128</v>
      </c>
      <c r="F54" s="170" t="s">
        <v>129</v>
      </c>
    </row>
    <row r="55" spans="2:7" ht="20.100000000000001" customHeight="1" x14ac:dyDescent="0.2">
      <c r="B55" s="143" t="s">
        <v>94</v>
      </c>
      <c r="C55" s="144">
        <v>45232</v>
      </c>
      <c r="D55" s="145" t="s">
        <v>95</v>
      </c>
      <c r="E55" s="170" t="s">
        <v>128</v>
      </c>
      <c r="F55" s="170" t="s">
        <v>129</v>
      </c>
    </row>
    <row r="56" spans="2:7" ht="20.100000000000001" customHeight="1" x14ac:dyDescent="0.2">
      <c r="B56" s="143" t="s">
        <v>90</v>
      </c>
      <c r="C56" s="144">
        <v>45224</v>
      </c>
      <c r="D56" s="145" t="s">
        <v>91</v>
      </c>
      <c r="E56" s="170" t="s">
        <v>128</v>
      </c>
      <c r="F56" s="170" t="s">
        <v>129</v>
      </c>
    </row>
    <row r="57" spans="2:7" ht="20.100000000000001" customHeight="1" x14ac:dyDescent="0.2">
      <c r="B57" s="143" t="s">
        <v>89</v>
      </c>
      <c r="C57" s="144">
        <v>45218</v>
      </c>
      <c r="D57" s="145" t="s">
        <v>84</v>
      </c>
      <c r="E57" s="170" t="s">
        <v>128</v>
      </c>
      <c r="F57" s="170" t="s">
        <v>129</v>
      </c>
    </row>
    <row r="58" spans="2:7" s="176" customFormat="1" ht="20.100000000000001" customHeight="1" x14ac:dyDescent="0.2">
      <c r="B58" s="143" t="s">
        <v>76</v>
      </c>
      <c r="C58" s="144">
        <v>45163</v>
      </c>
      <c r="D58" s="145" t="s">
        <v>75</v>
      </c>
      <c r="E58" s="170" t="s">
        <v>128</v>
      </c>
      <c r="F58" s="170" t="s">
        <v>129</v>
      </c>
      <c r="G58" s="172"/>
    </row>
    <row r="59" spans="2:7" ht="20.100000000000001" customHeight="1" x14ac:dyDescent="0.2">
      <c r="B59" s="143" t="s">
        <v>71</v>
      </c>
      <c r="C59" s="144">
        <v>45078</v>
      </c>
      <c r="D59" s="145" t="s">
        <v>19</v>
      </c>
      <c r="E59" s="170" t="s">
        <v>128</v>
      </c>
      <c r="F59" s="170" t="s">
        <v>129</v>
      </c>
    </row>
    <row r="60" spans="2:7" s="176" customFormat="1" ht="20.100000000000001" customHeight="1" x14ac:dyDescent="0.2">
      <c r="C60" s="173"/>
      <c r="D60" s="177"/>
      <c r="E60" s="180"/>
      <c r="F60" s="180"/>
    </row>
    <row r="61" spans="2:7" s="176" customFormat="1" x14ac:dyDescent="0.2">
      <c r="C61" s="173"/>
      <c r="D61" s="177"/>
      <c r="E61" s="180"/>
      <c r="F61" s="180"/>
    </row>
    <row r="62" spans="2:7" x14ac:dyDescent="0.2">
      <c r="B62" s="172" t="s">
        <v>116</v>
      </c>
    </row>
    <row r="63" spans="2:7" x14ac:dyDescent="0.2">
      <c r="B63" s="174" t="s">
        <v>14</v>
      </c>
      <c r="C63" s="175" t="s">
        <v>15</v>
      </c>
      <c r="D63" s="174" t="s">
        <v>16</v>
      </c>
      <c r="E63" s="179" t="s">
        <v>18</v>
      </c>
      <c r="F63" s="179" t="s">
        <v>17</v>
      </c>
    </row>
    <row r="64" spans="2:7" ht="30" customHeight="1" x14ac:dyDescent="0.2">
      <c r="B64" s="143"/>
      <c r="C64" s="144"/>
      <c r="D64" s="145"/>
      <c r="E64" s="170"/>
      <c r="F64" s="170"/>
    </row>
    <row r="65" spans="2:6" ht="20.100000000000001" customHeight="1" x14ac:dyDescent="0.2">
      <c r="B65" s="143" t="s">
        <v>140</v>
      </c>
      <c r="C65" s="144">
        <v>45481</v>
      </c>
      <c r="D65" s="145" t="s">
        <v>136</v>
      </c>
      <c r="E65" s="170" t="s">
        <v>128</v>
      </c>
      <c r="F65" s="170" t="s">
        <v>129</v>
      </c>
    </row>
    <row r="66" spans="2:6" ht="20.100000000000001" customHeight="1" x14ac:dyDescent="0.2">
      <c r="B66" s="143" t="s">
        <v>141</v>
      </c>
      <c r="C66" s="144">
        <v>45481</v>
      </c>
      <c r="D66" s="145" t="s">
        <v>139</v>
      </c>
      <c r="E66" s="170" t="s">
        <v>128</v>
      </c>
      <c r="F66" s="170" t="s">
        <v>129</v>
      </c>
    </row>
    <row r="67" spans="2:6" ht="20.100000000000001" customHeight="1" x14ac:dyDescent="0.2">
      <c r="B67" s="143" t="s">
        <v>117</v>
      </c>
      <c r="C67" s="144">
        <v>45287</v>
      </c>
      <c r="D67" s="145" t="s">
        <v>137</v>
      </c>
      <c r="E67" s="170" t="s">
        <v>128</v>
      </c>
      <c r="F67" s="170" t="s">
        <v>129</v>
      </c>
    </row>
    <row r="68" spans="2:6" ht="20.100000000000001" customHeight="1" x14ac:dyDescent="0.2"/>
  </sheetData>
  <sheetProtection algorithmName="SHA-512" hashValue="YKC4sEdDMbIBFkDSyzKEHJKg72lZJfbvD1iNxsXO2nzhWXEWoO9piXQwG7hYv9kLDRut7d1ThrUF2TUNhJpIVg==" saltValue="krgNzG4NGKqE7mQd1c9hDg==" spinCount="100000" sheet="1" objects="1" scenarios="1" selectLockedCells="1"/>
  <sortState xmlns:xlrd2="http://schemas.microsoft.com/office/spreadsheetml/2017/richdata2" ref="B64:G67">
    <sortCondition descending="1" ref="G64:G67"/>
  </sortState>
  <phoneticPr fontId="14"/>
  <pageMargins left="0.70866141732283472" right="0.70866141732283472" top="0.74803149606299213" bottom="0.74803149606299213" header="0.31496062992125984" footer="0.31496062992125984"/>
  <pageSetup paperSize="9" orientation="portrait" r:id="rId1"/>
  <headerFooter>
    <oddHeader>&amp;L&amp;F</oddHeader>
    <oddFooter>&amp;C&amp;A&amp;P/&amp;N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26DA-5929-4709-B840-B9754354FF6B}">
  <sheetPr codeName="Sheet2" filterMode="1">
    <tabColor rgb="FF00B050"/>
    <pageSetUpPr fitToPage="1"/>
  </sheetPr>
  <dimension ref="A1:CL196"/>
  <sheetViews>
    <sheetView showGridLines="0" tabSelected="1" view="pageBreakPreview" zoomScaleNormal="100" zoomScaleSheetLayoutView="100" zoomScalePageLayoutView="60" workbookViewId="0">
      <pane xSplit="38" topLeftCell="AM1" activePane="topRight" state="frozen"/>
      <selection pane="topRight" activeCell="H10" sqref="H10:Q10"/>
    </sheetView>
  </sheetViews>
  <sheetFormatPr defaultColWidth="9" defaultRowHeight="13.2" x14ac:dyDescent="0.2"/>
  <cols>
    <col min="1" max="1" width="2.88671875" style="1" customWidth="1"/>
    <col min="2" max="16" width="3.33203125" style="1" customWidth="1"/>
    <col min="17" max="17" width="3" style="1" customWidth="1"/>
    <col min="18" max="27" width="2.88671875" style="1" customWidth="1"/>
    <col min="28" max="34" width="3.6640625" style="1" customWidth="1"/>
    <col min="35" max="35" width="6.109375" style="1" customWidth="1"/>
    <col min="36" max="36" width="10.6640625" style="1" customWidth="1"/>
    <col min="37" max="37" width="2.44140625" style="1" customWidth="1"/>
    <col min="38" max="38" width="9.44140625" style="1" bestFit="1" customWidth="1"/>
    <col min="39" max="76" width="9" style="1"/>
    <col min="77" max="77" width="3.77734375" style="1" bestFit="1" customWidth="1"/>
    <col min="78" max="78" width="2.21875" style="128" bestFit="1" customWidth="1"/>
    <col min="79" max="79" width="5.88671875" style="127" bestFit="1" customWidth="1"/>
    <col min="80" max="80" width="9" style="129" bestFit="1" customWidth="1"/>
    <col min="81" max="81" width="8.88671875" style="129" customWidth="1"/>
    <col min="82" max="82" width="9" style="127"/>
    <col min="83" max="84" width="9" style="129"/>
    <col min="85" max="86" width="9" style="128"/>
    <col min="87" max="87" width="2.6640625" style="128" customWidth="1"/>
    <col min="88" max="90" width="9" style="128"/>
    <col min="91" max="16384" width="9" style="1"/>
  </cols>
  <sheetData>
    <row r="1" spans="1:90" ht="14.1" customHeight="1" x14ac:dyDescent="0.2">
      <c r="A1" s="138" t="s">
        <v>3</v>
      </c>
      <c r="AB1" s="312" t="s">
        <v>12</v>
      </c>
      <c r="AC1" s="313"/>
      <c r="AD1" s="313"/>
      <c r="AE1" s="313"/>
      <c r="AF1" s="314" t="str">
        <f>IF(LEN(AF2)=17,AF2&amp;"-B-A-01","★見積書番号を確認★")</f>
        <v>202512-10-2165640-B-A-01</v>
      </c>
      <c r="AG1" s="314"/>
      <c r="AH1" s="314"/>
      <c r="AI1" s="314"/>
      <c r="AJ1" s="315"/>
      <c r="AL1" s="128">
        <v>45611</v>
      </c>
      <c r="AV1" s="165" t="str">
        <f>AF1</f>
        <v>202512-10-2165640-B-A-01</v>
      </c>
      <c r="BY1" s="126" t="e">
        <f>#REF!</f>
        <v>#REF!</v>
      </c>
      <c r="BZ1" s="126" t="s">
        <v>72</v>
      </c>
      <c r="CA1" s="126" t="s">
        <v>213</v>
      </c>
      <c r="CB1" s="126">
        <v>0</v>
      </c>
      <c r="CC1" s="126">
        <v>0</v>
      </c>
      <c r="CD1" s="126">
        <v>0</v>
      </c>
      <c r="CE1" s="126" t="s">
        <v>214</v>
      </c>
      <c r="CF1" s="126" t="s">
        <v>215</v>
      </c>
      <c r="CG1" s="126" t="s">
        <v>216</v>
      </c>
      <c r="CH1" s="126">
        <v>0</v>
      </c>
      <c r="CI1" s="126" t="e">
        <f>#REF!</f>
        <v>#REF!</v>
      </c>
    </row>
    <row r="2" spans="1:90" ht="14.1" customHeight="1" x14ac:dyDescent="0.2">
      <c r="AB2" s="312" t="s">
        <v>13</v>
      </c>
      <c r="AC2" s="313"/>
      <c r="AD2" s="313"/>
      <c r="AE2" s="313"/>
      <c r="AF2" s="316" t="str">
        <f>CB2</f>
        <v>202512-10-2165640</v>
      </c>
      <c r="AG2" s="314"/>
      <c r="AH2" s="314"/>
      <c r="AI2" s="314"/>
      <c r="AJ2" s="315"/>
      <c r="AV2" s="165" t="str">
        <f>AF2</f>
        <v>202512-10-2165640</v>
      </c>
      <c r="BY2" s="126" t="e">
        <f>#REF!</f>
        <v>#REF!</v>
      </c>
      <c r="BZ2" s="126">
        <v>0</v>
      </c>
      <c r="CA2" s="126">
        <v>0</v>
      </c>
      <c r="CB2" s="126" t="s">
        <v>217</v>
      </c>
      <c r="CC2" s="126">
        <v>0</v>
      </c>
      <c r="CD2" s="126">
        <v>0</v>
      </c>
      <c r="CE2" s="126" t="s">
        <v>110</v>
      </c>
      <c r="CF2" s="126" t="s">
        <v>110</v>
      </c>
      <c r="CG2" s="126" t="s">
        <v>110</v>
      </c>
      <c r="CH2" s="126" t="s">
        <v>218</v>
      </c>
      <c r="CI2" s="126" t="e">
        <f>#REF!</f>
        <v>#REF!</v>
      </c>
    </row>
    <row r="3" spans="1:90" ht="9.9" customHeight="1" x14ac:dyDescent="0.2">
      <c r="BY3" s="126" t="e">
        <f>#REF!</f>
        <v>#REF!</v>
      </c>
      <c r="BZ3" s="126">
        <v>0</v>
      </c>
      <c r="CA3" s="126">
        <v>0</v>
      </c>
      <c r="CB3" s="126">
        <v>0</v>
      </c>
      <c r="CC3" s="126">
        <v>0</v>
      </c>
      <c r="CD3" s="126">
        <v>0</v>
      </c>
      <c r="CE3" s="126">
        <v>0</v>
      </c>
      <c r="CF3" s="126">
        <v>0</v>
      </c>
      <c r="CG3" s="126" t="s">
        <v>65</v>
      </c>
      <c r="CH3" s="126" t="s">
        <v>68</v>
      </c>
      <c r="CI3" s="126" t="e">
        <f>#REF!</f>
        <v>#REF!</v>
      </c>
    </row>
    <row r="4" spans="1:90" ht="18" customHeight="1" x14ac:dyDescent="0.2">
      <c r="A4" s="317" t="str">
        <f>CB4</f>
        <v>asleadサービス申込書 （兼 変更申込書）</v>
      </c>
      <c r="B4" s="317"/>
      <c r="C4" s="317"/>
      <c r="D4" s="317"/>
      <c r="E4" s="317"/>
      <c r="F4" s="317"/>
      <c r="G4" s="317"/>
      <c r="H4" s="317"/>
      <c r="I4" s="317"/>
      <c r="J4" s="317"/>
      <c r="K4" s="317"/>
      <c r="L4" s="317"/>
      <c r="M4" s="317"/>
      <c r="N4" s="317"/>
      <c r="O4" s="317"/>
      <c r="P4" s="317"/>
      <c r="Q4" s="317"/>
      <c r="R4" s="317"/>
      <c r="S4" s="317"/>
      <c r="T4" s="317"/>
      <c r="U4" s="317"/>
      <c r="V4" s="317"/>
      <c r="W4" s="317"/>
      <c r="X4" s="317"/>
      <c r="Y4" s="317"/>
      <c r="Z4" s="317"/>
      <c r="AA4" s="317"/>
      <c r="AB4" s="317"/>
      <c r="AC4" s="317"/>
      <c r="AD4" s="317"/>
      <c r="AE4" s="317"/>
      <c r="AF4" s="317"/>
      <c r="AG4" s="317"/>
      <c r="AH4" s="317"/>
      <c r="AI4" s="317"/>
      <c r="AJ4" s="317"/>
      <c r="BY4" s="126" t="e">
        <f>#REF!</f>
        <v>#REF!</v>
      </c>
      <c r="BZ4" s="126">
        <v>0</v>
      </c>
      <c r="CA4" s="126" t="s">
        <v>219</v>
      </c>
      <c r="CB4" s="126" t="s">
        <v>65</v>
      </c>
      <c r="CC4" s="126" t="s">
        <v>68</v>
      </c>
      <c r="CD4" s="126" t="e">
        <v>#REF!</v>
      </c>
      <c r="CE4" s="126" t="e">
        <v>#REF!</v>
      </c>
      <c r="CF4" s="126">
        <v>0</v>
      </c>
      <c r="CG4" s="126" t="s">
        <v>66</v>
      </c>
      <c r="CH4" s="126" t="s">
        <v>69</v>
      </c>
      <c r="CI4" s="126" t="e">
        <f>#REF!</f>
        <v>#REF!</v>
      </c>
    </row>
    <row r="5" spans="1:90" ht="18" customHeight="1" x14ac:dyDescent="0.2">
      <c r="A5" s="317"/>
      <c r="B5" s="317"/>
      <c r="C5" s="317"/>
      <c r="D5" s="317"/>
      <c r="E5" s="317"/>
      <c r="F5" s="317"/>
      <c r="G5" s="317"/>
      <c r="H5" s="317"/>
      <c r="I5" s="317"/>
      <c r="J5" s="317"/>
      <c r="K5" s="317"/>
      <c r="L5" s="317"/>
      <c r="M5" s="317"/>
      <c r="N5" s="317"/>
      <c r="O5" s="317"/>
      <c r="P5" s="317"/>
      <c r="Q5" s="317"/>
      <c r="R5" s="317"/>
      <c r="S5" s="317"/>
      <c r="T5" s="317"/>
      <c r="U5" s="317"/>
      <c r="V5" s="317"/>
      <c r="W5" s="317"/>
      <c r="X5" s="317"/>
      <c r="Y5" s="317"/>
      <c r="Z5" s="317"/>
      <c r="AA5" s="317"/>
      <c r="AB5" s="317"/>
      <c r="AC5" s="317"/>
      <c r="AD5" s="317"/>
      <c r="AE5" s="317"/>
      <c r="AF5" s="317"/>
      <c r="AG5" s="317"/>
      <c r="AH5" s="317"/>
      <c r="AI5" s="317"/>
      <c r="AJ5" s="317"/>
      <c r="BY5" s="126" t="e">
        <f>#REF!</f>
        <v>#REF!</v>
      </c>
      <c r="BZ5" s="126">
        <v>0</v>
      </c>
      <c r="CA5" s="126">
        <v>0</v>
      </c>
      <c r="CB5" s="126" t="s">
        <v>192</v>
      </c>
      <c r="CC5" s="126" t="s">
        <v>220</v>
      </c>
      <c r="CD5" s="126" t="e">
        <v>#REF!</v>
      </c>
      <c r="CE5" s="126" t="e">
        <v>#REF!</v>
      </c>
      <c r="CF5" s="126">
        <v>0</v>
      </c>
      <c r="CG5" s="126" t="s">
        <v>221</v>
      </c>
      <c r="CH5" s="126" t="s">
        <v>222</v>
      </c>
      <c r="CI5" s="126" t="e">
        <f>#REF!</f>
        <v>#REF!</v>
      </c>
    </row>
    <row r="6" spans="1:90" ht="18" customHeight="1" x14ac:dyDescent="0.2">
      <c r="A6" s="2"/>
      <c r="B6" s="3"/>
      <c r="C6" s="4"/>
      <c r="D6" s="4"/>
      <c r="E6" s="4"/>
      <c r="F6" s="4"/>
      <c r="G6" s="4"/>
      <c r="H6" s="4"/>
      <c r="I6" s="4"/>
      <c r="J6" s="4"/>
      <c r="K6" s="4"/>
      <c r="L6" s="4"/>
      <c r="M6" s="4"/>
      <c r="N6" s="4"/>
      <c r="O6" s="4"/>
      <c r="P6" s="4"/>
      <c r="Q6" s="4"/>
      <c r="R6" s="4"/>
      <c r="S6" s="4"/>
      <c r="T6" s="4"/>
      <c r="U6" s="4"/>
      <c r="V6" s="4"/>
      <c r="W6" s="5"/>
      <c r="X6" s="5"/>
      <c r="Y6" s="5"/>
      <c r="Z6" s="5"/>
      <c r="AA6" s="5"/>
      <c r="AB6" s="5"/>
      <c r="AC6" s="5"/>
      <c r="AD6" s="5"/>
      <c r="AK6" s="5"/>
      <c r="BY6" s="126" t="e">
        <f>#REF!</f>
        <v>#REF!</v>
      </c>
      <c r="BZ6" s="126">
        <v>0</v>
      </c>
      <c r="CA6" s="126">
        <v>0</v>
      </c>
      <c r="CB6" s="126" t="s">
        <v>223</v>
      </c>
      <c r="CC6" s="126">
        <v>0</v>
      </c>
      <c r="CD6" s="126">
        <v>0</v>
      </c>
      <c r="CE6" s="126">
        <v>0</v>
      </c>
      <c r="CF6" s="126">
        <v>0</v>
      </c>
      <c r="CG6" s="126" t="s">
        <v>67</v>
      </c>
      <c r="CH6" s="126" t="s">
        <v>70</v>
      </c>
      <c r="CI6" s="126" t="e">
        <f>#REF!</f>
        <v>#REF!</v>
      </c>
    </row>
    <row r="7" spans="1:90" ht="18" customHeight="1" x14ac:dyDescent="0.2">
      <c r="A7" s="318" t="str">
        <f>CB8</f>
        <v>当社は、株式会社野村総合研究所（以下「ＮＲＩ」という）所定の申込書で「各利用規約」を承認し本サービスを申し込みます。</v>
      </c>
      <c r="B7" s="319"/>
      <c r="C7" s="319"/>
      <c r="D7" s="319"/>
      <c r="E7" s="319"/>
      <c r="F7" s="319"/>
      <c r="G7" s="319"/>
      <c r="H7" s="319"/>
      <c r="I7" s="319"/>
      <c r="J7" s="319"/>
      <c r="K7" s="319"/>
      <c r="L7" s="319"/>
      <c r="M7" s="319"/>
      <c r="N7" s="319"/>
      <c r="O7" s="319"/>
      <c r="P7" s="319"/>
      <c r="Q7" s="319"/>
      <c r="R7" s="319"/>
      <c r="S7" s="319"/>
      <c r="T7" s="319"/>
      <c r="U7" s="319"/>
      <c r="V7" s="319"/>
      <c r="W7" s="319"/>
      <c r="X7" s="319"/>
      <c r="Y7" s="319"/>
      <c r="Z7" s="319"/>
      <c r="AA7" s="319"/>
      <c r="AB7" s="319"/>
      <c r="AC7" s="319"/>
      <c r="AD7" s="48"/>
      <c r="AE7" s="320" t="s">
        <v>20</v>
      </c>
      <c r="AF7" s="321"/>
      <c r="AG7" s="321"/>
      <c r="AH7" s="321"/>
      <c r="AI7" s="321"/>
      <c r="AJ7" s="322"/>
      <c r="AK7" s="6"/>
      <c r="BY7" s="126" t="e">
        <f>#REF!</f>
        <v>#REF!</v>
      </c>
      <c r="BZ7" s="126">
        <v>0</v>
      </c>
      <c r="CA7" s="126">
        <v>0</v>
      </c>
      <c r="CB7" s="126" t="s">
        <v>224</v>
      </c>
      <c r="CC7" s="126" t="s">
        <v>225</v>
      </c>
      <c r="CD7" s="126" t="s">
        <v>226</v>
      </c>
      <c r="CE7" s="126" t="s">
        <v>227</v>
      </c>
      <c r="CF7" s="126" t="s">
        <v>228</v>
      </c>
      <c r="CG7" s="126" t="s">
        <v>229</v>
      </c>
      <c r="CH7" s="126">
        <v>0</v>
      </c>
      <c r="CI7" s="126" t="e">
        <f>#REF!</f>
        <v>#REF!</v>
      </c>
    </row>
    <row r="8" spans="1:90" s="37" customFormat="1" ht="30" customHeight="1" x14ac:dyDescent="0.2">
      <c r="A8" s="319"/>
      <c r="B8" s="319"/>
      <c r="C8" s="319"/>
      <c r="D8" s="319"/>
      <c r="E8" s="319"/>
      <c r="F8" s="319"/>
      <c r="G8" s="319"/>
      <c r="H8" s="319"/>
      <c r="I8" s="319"/>
      <c r="J8" s="319"/>
      <c r="K8" s="319"/>
      <c r="L8" s="319"/>
      <c r="M8" s="319"/>
      <c r="N8" s="319"/>
      <c r="O8" s="319"/>
      <c r="P8" s="319"/>
      <c r="Q8" s="319"/>
      <c r="R8" s="319"/>
      <c r="S8" s="319"/>
      <c r="T8" s="319"/>
      <c r="U8" s="319"/>
      <c r="V8" s="319"/>
      <c r="W8" s="319"/>
      <c r="X8" s="319"/>
      <c r="Y8" s="319"/>
      <c r="Z8" s="319"/>
      <c r="AA8" s="319"/>
      <c r="AB8" s="319"/>
      <c r="AC8" s="319"/>
      <c r="AD8" s="48"/>
      <c r="AE8" s="323" t="s">
        <v>35</v>
      </c>
      <c r="AF8" s="324"/>
      <c r="AG8" s="324"/>
      <c r="AH8" s="324"/>
      <c r="AI8" s="324"/>
      <c r="AJ8" s="325"/>
      <c r="AK8" s="7"/>
      <c r="BY8" s="126" t="e">
        <f>#REF!</f>
        <v>#REF!</v>
      </c>
      <c r="BZ8" s="126">
        <v>0</v>
      </c>
      <c r="CA8" s="126">
        <v>0</v>
      </c>
      <c r="CB8" s="126" t="s">
        <v>230</v>
      </c>
      <c r="CC8" s="126" t="s">
        <v>231</v>
      </c>
      <c r="CD8" s="126" t="s">
        <v>230</v>
      </c>
      <c r="CE8" s="126" t="s">
        <v>231</v>
      </c>
      <c r="CF8" s="126" t="s">
        <v>232</v>
      </c>
      <c r="CG8" s="126" t="s">
        <v>233</v>
      </c>
      <c r="CH8" s="126" t="s">
        <v>234</v>
      </c>
      <c r="CI8" s="126" t="e">
        <f>#REF!</f>
        <v>#REF!</v>
      </c>
      <c r="CJ8" s="132"/>
      <c r="CK8" s="132"/>
      <c r="CL8" s="132"/>
    </row>
    <row r="9" spans="1:90" ht="18" customHeight="1" thickBot="1" x14ac:dyDescent="0.25">
      <c r="A9" s="338" t="str">
        <f>CB9</f>
        <v>※黄色各項目部分をご記入ください。</v>
      </c>
      <c r="B9" s="338"/>
      <c r="C9" s="338"/>
      <c r="D9" s="338"/>
      <c r="E9" s="338"/>
      <c r="F9" s="338"/>
      <c r="G9" s="338"/>
      <c r="H9" s="338"/>
      <c r="I9" s="338"/>
      <c r="J9" s="338"/>
      <c r="K9" s="338"/>
      <c r="L9" s="338"/>
      <c r="M9" s="338"/>
      <c r="N9" s="338"/>
      <c r="O9" s="338"/>
      <c r="P9" s="338"/>
      <c r="Q9" s="338"/>
      <c r="R9" s="9"/>
      <c r="S9" s="9"/>
      <c r="T9" s="9"/>
      <c r="U9" s="9"/>
      <c r="V9" s="9"/>
      <c r="W9" s="10"/>
      <c r="X9" s="10"/>
      <c r="Y9" s="10"/>
      <c r="Z9" s="10"/>
      <c r="AA9" s="10"/>
      <c r="AB9" s="11"/>
      <c r="AC9" s="11"/>
      <c r="AD9" s="12"/>
      <c r="AE9" s="326"/>
      <c r="AF9" s="327"/>
      <c r="AG9" s="327"/>
      <c r="AH9" s="327"/>
      <c r="AI9" s="327"/>
      <c r="AJ9" s="328"/>
      <c r="AK9" s="2"/>
      <c r="BY9" s="126" t="e">
        <f>#REF!</f>
        <v>#REF!</v>
      </c>
      <c r="BZ9" s="126">
        <v>0</v>
      </c>
      <c r="CA9" s="126">
        <v>0</v>
      </c>
      <c r="CB9" s="126" t="s">
        <v>235</v>
      </c>
      <c r="CC9" s="126" t="s">
        <v>236</v>
      </c>
      <c r="CD9" s="126" t="s">
        <v>234</v>
      </c>
      <c r="CE9" s="126" t="s">
        <v>234</v>
      </c>
      <c r="CF9" s="126" t="s">
        <v>234</v>
      </c>
      <c r="CG9" s="126" t="s">
        <v>234</v>
      </c>
      <c r="CH9" s="126" t="s">
        <v>234</v>
      </c>
      <c r="CI9" s="126" t="e">
        <f>#REF!</f>
        <v>#REF!</v>
      </c>
    </row>
    <row r="10" spans="1:90" s="37" customFormat="1" ht="22.5" customHeight="1" thickBot="1" x14ac:dyDescent="0.25">
      <c r="A10" s="332" t="s">
        <v>52</v>
      </c>
      <c r="B10" s="333"/>
      <c r="C10" s="333"/>
      <c r="D10" s="333"/>
      <c r="E10" s="333"/>
      <c r="F10" s="333"/>
      <c r="G10" s="334"/>
      <c r="H10" s="335" t="s">
        <v>10</v>
      </c>
      <c r="I10" s="336"/>
      <c r="J10" s="336"/>
      <c r="K10" s="336"/>
      <c r="L10" s="336"/>
      <c r="M10" s="336"/>
      <c r="N10" s="336"/>
      <c r="O10" s="336"/>
      <c r="P10" s="336"/>
      <c r="Q10" s="337"/>
      <c r="R10" s="8"/>
      <c r="S10" s="8"/>
      <c r="T10" s="8"/>
      <c r="U10" s="8"/>
      <c r="V10" s="8"/>
      <c r="W10" s="8"/>
      <c r="X10" s="8"/>
      <c r="Y10" s="8"/>
      <c r="Z10" s="8"/>
      <c r="AA10" s="8"/>
      <c r="AB10" s="8"/>
      <c r="AC10" s="8"/>
      <c r="AD10" s="8"/>
      <c r="AE10" s="329"/>
      <c r="AF10" s="330"/>
      <c r="AG10" s="330"/>
      <c r="AH10" s="330"/>
      <c r="AI10" s="330"/>
      <c r="AJ10" s="331"/>
      <c r="AK10" s="8"/>
      <c r="BY10" s="126" t="e">
        <f>#REF!</f>
        <v>#REF!</v>
      </c>
      <c r="BZ10" s="126">
        <v>0</v>
      </c>
      <c r="CA10" s="126">
        <v>0</v>
      </c>
      <c r="CB10" s="126">
        <v>0</v>
      </c>
      <c r="CC10" s="126">
        <v>0</v>
      </c>
      <c r="CD10" s="126">
        <v>0</v>
      </c>
      <c r="CE10" s="126">
        <v>0</v>
      </c>
      <c r="CF10" s="126">
        <v>0</v>
      </c>
      <c r="CG10" s="126">
        <v>0</v>
      </c>
      <c r="CH10" s="126">
        <v>0</v>
      </c>
      <c r="CI10" s="126" t="e">
        <f>#REF!</f>
        <v>#REF!</v>
      </c>
      <c r="CJ10" s="132"/>
      <c r="CK10" s="132"/>
      <c r="CL10" s="132"/>
    </row>
    <row r="11" spans="1:90" ht="10.5" customHeight="1" x14ac:dyDescent="0.15">
      <c r="A11" s="339"/>
      <c r="B11" s="339"/>
      <c r="C11" s="339"/>
      <c r="D11" s="339"/>
      <c r="E11" s="339"/>
      <c r="F11" s="339"/>
      <c r="G11" s="339"/>
      <c r="H11" s="339"/>
      <c r="I11" s="339"/>
      <c r="J11" s="339"/>
      <c r="K11" s="339"/>
      <c r="L11" s="339"/>
      <c r="M11" s="339"/>
      <c r="N11" s="339"/>
      <c r="O11" s="339"/>
      <c r="P11" s="339"/>
      <c r="Q11" s="339"/>
      <c r="R11" s="339"/>
      <c r="S11" s="339"/>
      <c r="T11" s="339"/>
      <c r="U11" s="339"/>
      <c r="V11" s="339"/>
      <c r="W11" s="339"/>
      <c r="X11" s="339"/>
      <c r="Y11" s="339"/>
      <c r="Z11" s="339"/>
      <c r="AA11" s="339"/>
      <c r="AB11" s="339"/>
      <c r="AC11" s="339"/>
      <c r="AD11" s="339"/>
      <c r="AE11" s="339"/>
      <c r="AF11" s="339"/>
      <c r="AG11" s="339"/>
      <c r="AH11" s="339"/>
      <c r="AI11" s="339"/>
      <c r="AJ11" s="339"/>
      <c r="AK11" s="339"/>
      <c r="BY11" s="126" t="e">
        <f>#REF!</f>
        <v>#REF!</v>
      </c>
      <c r="BZ11" s="126">
        <v>0</v>
      </c>
      <c r="CA11" s="126">
        <v>0</v>
      </c>
      <c r="CB11" s="126">
        <v>0</v>
      </c>
      <c r="CC11" s="126">
        <v>0</v>
      </c>
      <c r="CD11" s="126">
        <v>0</v>
      </c>
      <c r="CE11" s="126">
        <v>0</v>
      </c>
      <c r="CF11" s="126">
        <v>0</v>
      </c>
      <c r="CG11" s="126">
        <v>0</v>
      </c>
      <c r="CH11" s="126">
        <v>0</v>
      </c>
      <c r="CI11" s="126" t="e">
        <f>#REF!</f>
        <v>#REF!</v>
      </c>
    </row>
    <row r="12" spans="1:90" s="79" customFormat="1" ht="18" customHeight="1" thickBot="1" x14ac:dyDescent="0.25">
      <c r="A12" s="340" t="str">
        <f>CB12</f>
        <v>※決裁権限のある方からのお申し込みをお願いします。</v>
      </c>
      <c r="B12" s="341"/>
      <c r="C12" s="341"/>
      <c r="D12" s="341"/>
      <c r="E12" s="341"/>
      <c r="F12" s="341"/>
      <c r="G12" s="341"/>
      <c r="H12" s="341"/>
      <c r="I12" s="341"/>
      <c r="J12" s="341"/>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1"/>
      <c r="AJ12" s="341"/>
      <c r="AK12" s="341"/>
      <c r="BY12" s="126" t="e">
        <f>#REF!</f>
        <v>#REF!</v>
      </c>
      <c r="BZ12" s="126">
        <v>0</v>
      </c>
      <c r="CA12" s="126">
        <v>0</v>
      </c>
      <c r="CB12" s="126" t="s">
        <v>237</v>
      </c>
      <c r="CC12" s="126" t="s">
        <v>236</v>
      </c>
      <c r="CD12" s="126" t="s">
        <v>234</v>
      </c>
      <c r="CE12" s="126">
        <v>0</v>
      </c>
      <c r="CF12" s="126">
        <v>0</v>
      </c>
      <c r="CG12" s="126">
        <v>0</v>
      </c>
      <c r="CH12" s="126">
        <v>0</v>
      </c>
      <c r="CI12" s="126" t="e">
        <f>#REF!</f>
        <v>#REF!</v>
      </c>
      <c r="CJ12" s="133"/>
      <c r="CK12" s="133"/>
      <c r="CL12" s="133"/>
    </row>
    <row r="13" spans="1:90" s="75" customFormat="1" ht="27" customHeight="1" x14ac:dyDescent="0.2">
      <c r="A13" s="342" t="s">
        <v>11</v>
      </c>
      <c r="B13" s="343"/>
      <c r="C13" s="344"/>
      <c r="D13" s="112" t="s">
        <v>4</v>
      </c>
      <c r="E13" s="113"/>
      <c r="F13" s="72"/>
      <c r="G13" s="73"/>
      <c r="H13" s="351"/>
      <c r="I13" s="352"/>
      <c r="J13" s="352"/>
      <c r="K13" s="352"/>
      <c r="L13" s="352"/>
      <c r="M13" s="352"/>
      <c r="N13" s="352"/>
      <c r="O13" s="352"/>
      <c r="P13" s="352"/>
      <c r="Q13" s="352"/>
      <c r="R13" s="352"/>
      <c r="S13" s="352"/>
      <c r="T13" s="352"/>
      <c r="U13" s="352"/>
      <c r="V13" s="352"/>
      <c r="W13" s="352"/>
      <c r="X13" s="352"/>
      <c r="Y13" s="352"/>
      <c r="Z13" s="352"/>
      <c r="AA13" s="352"/>
      <c r="AB13" s="352"/>
      <c r="AC13" s="352"/>
      <c r="AD13" s="352"/>
      <c r="AE13" s="352"/>
      <c r="AF13" s="352"/>
      <c r="AG13" s="352"/>
      <c r="AH13" s="352"/>
      <c r="AI13" s="352"/>
      <c r="AJ13" s="352"/>
      <c r="AK13" s="74"/>
      <c r="BY13" s="126" t="e">
        <f>#REF!</f>
        <v>#REF!</v>
      </c>
      <c r="BZ13" s="126">
        <v>0</v>
      </c>
      <c r="CA13" s="126"/>
      <c r="CB13" s="126" t="s">
        <v>238</v>
      </c>
      <c r="CC13" s="126">
        <v>0</v>
      </c>
      <c r="CD13" s="126">
        <v>0</v>
      </c>
      <c r="CE13" s="126" t="s">
        <v>238</v>
      </c>
      <c r="CF13" s="126">
        <v>0</v>
      </c>
      <c r="CG13" s="126">
        <v>0</v>
      </c>
      <c r="CH13" s="126">
        <v>0</v>
      </c>
      <c r="CI13" s="126" t="e">
        <f>#REF!</f>
        <v>#REF!</v>
      </c>
      <c r="CJ13" s="134"/>
      <c r="CK13" s="134"/>
      <c r="CL13" s="134"/>
    </row>
    <row r="14" spans="1:90" s="14" customFormat="1" ht="18" customHeight="1" x14ac:dyDescent="0.2">
      <c r="A14" s="345"/>
      <c r="B14" s="346"/>
      <c r="C14" s="347"/>
      <c r="D14" s="70" t="s">
        <v>29</v>
      </c>
      <c r="E14" s="70"/>
      <c r="F14" s="70"/>
      <c r="G14" s="71"/>
      <c r="H14" s="140" t="s">
        <v>24</v>
      </c>
      <c r="I14" s="353" t="s">
        <v>0</v>
      </c>
      <c r="J14" s="353"/>
      <c r="K14" s="353"/>
      <c r="L14" s="353"/>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52"/>
      <c r="BY14" s="126" t="e">
        <f>#REF!</f>
        <v>#REF!</v>
      </c>
      <c r="BZ14" s="126">
        <v>0</v>
      </c>
      <c r="CA14" s="126"/>
      <c r="CB14" s="126">
        <v>0</v>
      </c>
      <c r="CC14" s="126">
        <v>0</v>
      </c>
      <c r="CD14" s="126">
        <v>0</v>
      </c>
      <c r="CE14" s="126">
        <v>0</v>
      </c>
      <c r="CF14" s="126">
        <v>0</v>
      </c>
      <c r="CG14" s="126">
        <v>0</v>
      </c>
      <c r="CH14" s="126">
        <v>0</v>
      </c>
      <c r="CI14" s="126" t="e">
        <f>#REF!</f>
        <v>#REF!</v>
      </c>
      <c r="CJ14" s="127"/>
      <c r="CK14" s="127"/>
      <c r="CL14" s="127"/>
    </row>
    <row r="15" spans="1:90" s="14" customFormat="1" ht="18" customHeight="1" x14ac:dyDescent="0.2">
      <c r="A15" s="345"/>
      <c r="B15" s="346"/>
      <c r="C15" s="347"/>
      <c r="D15" s="70" t="s">
        <v>53</v>
      </c>
      <c r="E15" s="70"/>
      <c r="F15" s="70"/>
      <c r="G15" s="71"/>
      <c r="H15" s="354"/>
      <c r="I15" s="355"/>
      <c r="J15" s="355"/>
      <c r="K15" s="355"/>
      <c r="L15" s="355"/>
      <c r="M15" s="355"/>
      <c r="N15" s="355"/>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52"/>
      <c r="BY15" s="126" t="e">
        <f>#REF!</f>
        <v>#REF!</v>
      </c>
      <c r="BZ15" s="126">
        <v>0</v>
      </c>
      <c r="CA15" s="126"/>
      <c r="CB15" s="126">
        <v>0</v>
      </c>
      <c r="CC15" s="126">
        <v>0</v>
      </c>
      <c r="CD15" s="126">
        <v>0</v>
      </c>
      <c r="CE15" s="126">
        <v>0</v>
      </c>
      <c r="CF15" s="126">
        <v>0</v>
      </c>
      <c r="CG15" s="126">
        <v>0</v>
      </c>
      <c r="CH15" s="126">
        <v>0</v>
      </c>
      <c r="CI15" s="126" t="e">
        <f>#REF!</f>
        <v>#REF!</v>
      </c>
      <c r="CJ15" s="127"/>
      <c r="CK15" s="127"/>
      <c r="CL15" s="127"/>
    </row>
    <row r="16" spans="1:90" s="14" customFormat="1" ht="18" customHeight="1" x14ac:dyDescent="0.2">
      <c r="A16" s="345"/>
      <c r="B16" s="346"/>
      <c r="C16" s="347"/>
      <c r="D16" s="70" t="s">
        <v>21</v>
      </c>
      <c r="E16" s="70"/>
      <c r="F16" s="70"/>
      <c r="G16" s="71"/>
      <c r="H16" s="354"/>
      <c r="I16" s="355"/>
      <c r="J16" s="355"/>
      <c r="K16" s="355"/>
      <c r="L16" s="355"/>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53"/>
      <c r="BY16" s="126" t="e">
        <f>#REF!</f>
        <v>#REF!</v>
      </c>
      <c r="BZ16" s="126">
        <v>0</v>
      </c>
      <c r="CA16" s="126"/>
      <c r="CB16" s="126">
        <v>0</v>
      </c>
      <c r="CC16" s="126">
        <v>0</v>
      </c>
      <c r="CD16" s="126">
        <v>0</v>
      </c>
      <c r="CE16" s="126">
        <v>0</v>
      </c>
      <c r="CF16" s="126">
        <v>0</v>
      </c>
      <c r="CG16" s="126">
        <v>0</v>
      </c>
      <c r="CH16" s="126">
        <v>0</v>
      </c>
      <c r="CI16" s="126" t="e">
        <f>#REF!</f>
        <v>#REF!</v>
      </c>
      <c r="CJ16" s="127"/>
      <c r="CK16" s="127"/>
      <c r="CL16" s="127"/>
    </row>
    <row r="17" spans="1:90" s="14" customFormat="1" ht="18" customHeight="1" x14ac:dyDescent="0.2">
      <c r="A17" s="345"/>
      <c r="B17" s="346"/>
      <c r="C17" s="347"/>
      <c r="D17" s="70" t="s">
        <v>54</v>
      </c>
      <c r="E17" s="70"/>
      <c r="F17" s="70"/>
      <c r="G17" s="71"/>
      <c r="H17" s="354"/>
      <c r="I17" s="355"/>
      <c r="J17" s="355"/>
      <c r="K17" s="355"/>
      <c r="L17" s="355"/>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54"/>
      <c r="BY17" s="126" t="e">
        <f>#REF!</f>
        <v>#REF!</v>
      </c>
      <c r="BZ17" s="126">
        <v>0</v>
      </c>
      <c r="CA17" s="126"/>
      <c r="CB17" s="126">
        <v>0</v>
      </c>
      <c r="CC17" s="126">
        <v>0</v>
      </c>
      <c r="CD17" s="126">
        <v>0</v>
      </c>
      <c r="CE17" s="126">
        <v>0</v>
      </c>
      <c r="CF17" s="126">
        <v>0</v>
      </c>
      <c r="CG17" s="126">
        <v>0</v>
      </c>
      <c r="CH17" s="126">
        <v>0</v>
      </c>
      <c r="CI17" s="126" t="e">
        <f>#REF!</f>
        <v>#REF!</v>
      </c>
      <c r="CJ17" s="127"/>
      <c r="CK17" s="127"/>
      <c r="CL17" s="127"/>
    </row>
    <row r="18" spans="1:90" s="2" customFormat="1" ht="27" customHeight="1" thickBot="1" x14ac:dyDescent="0.25">
      <c r="A18" s="348"/>
      <c r="B18" s="349"/>
      <c r="C18" s="350"/>
      <c r="D18" s="114" t="s">
        <v>55</v>
      </c>
      <c r="E18" s="114"/>
      <c r="F18" s="76"/>
      <c r="G18" s="77"/>
      <c r="H18" s="356"/>
      <c r="I18" s="357"/>
      <c r="J18" s="357"/>
      <c r="K18" s="357"/>
      <c r="L18" s="357"/>
      <c r="M18" s="357"/>
      <c r="N18" s="357"/>
      <c r="O18" s="357"/>
      <c r="P18" s="357"/>
      <c r="Q18" s="357"/>
      <c r="R18" s="357"/>
      <c r="S18" s="357"/>
      <c r="T18" s="357"/>
      <c r="U18" s="357"/>
      <c r="V18" s="357"/>
      <c r="W18" s="357"/>
      <c r="X18" s="141" t="s">
        <v>2</v>
      </c>
      <c r="Y18" s="359"/>
      <c r="Z18" s="359"/>
      <c r="AA18" s="359"/>
      <c r="AB18" s="359"/>
      <c r="AC18" s="359"/>
      <c r="AD18" s="359"/>
      <c r="AE18" s="359"/>
      <c r="AF18" s="359"/>
      <c r="AG18" s="359"/>
      <c r="AH18" s="359"/>
      <c r="AI18" s="359"/>
      <c r="AJ18" s="359"/>
      <c r="AK18" s="78"/>
      <c r="BY18" s="126" t="e">
        <f>#REF!</f>
        <v>#REF!</v>
      </c>
      <c r="BZ18" s="126">
        <v>0</v>
      </c>
      <c r="CA18" s="126"/>
      <c r="CB18" s="126">
        <v>0</v>
      </c>
      <c r="CC18" s="126">
        <v>0</v>
      </c>
      <c r="CD18" s="126">
        <v>0</v>
      </c>
      <c r="CE18" s="126">
        <v>0</v>
      </c>
      <c r="CF18" s="126">
        <v>0</v>
      </c>
      <c r="CG18" s="126">
        <v>0</v>
      </c>
      <c r="CH18" s="126">
        <v>0</v>
      </c>
      <c r="CI18" s="126" t="e">
        <f>#REF!</f>
        <v>#REF!</v>
      </c>
      <c r="CJ18" s="135"/>
      <c r="CK18" s="135"/>
      <c r="CL18" s="135"/>
    </row>
    <row r="19" spans="1:90" s="14" customFormat="1" ht="10.5" customHeight="1" x14ac:dyDescent="0.2">
      <c r="A19" s="12"/>
      <c r="B19" s="12"/>
      <c r="C19" s="12"/>
      <c r="D19" s="12"/>
      <c r="E19" s="12"/>
      <c r="F19" s="123"/>
      <c r="G19" s="123"/>
      <c r="H19" s="123"/>
      <c r="I19" s="36"/>
      <c r="J19" s="55"/>
      <c r="K19" s="55"/>
      <c r="L19" s="55"/>
      <c r="M19" s="55"/>
      <c r="N19" s="55"/>
      <c r="O19" s="55"/>
      <c r="P19" s="55"/>
      <c r="Q19" s="55"/>
      <c r="R19" s="55"/>
      <c r="S19" s="55"/>
      <c r="T19" s="55"/>
      <c r="U19" s="55"/>
      <c r="V19" s="55"/>
      <c r="W19" s="55"/>
      <c r="X19" s="56"/>
      <c r="Y19" s="125"/>
      <c r="Z19" s="125"/>
      <c r="AA19" s="125"/>
      <c r="AB19" s="125"/>
      <c r="AC19" s="125"/>
      <c r="AD19" s="125"/>
      <c r="AE19" s="125"/>
      <c r="AF19" s="125"/>
      <c r="AG19" s="125"/>
      <c r="AH19" s="125"/>
      <c r="AI19" s="125"/>
      <c r="AJ19" s="125"/>
      <c r="AK19" s="57"/>
      <c r="BY19" s="126" t="e">
        <f>#REF!</f>
        <v>#REF!</v>
      </c>
      <c r="BZ19" s="126">
        <v>0</v>
      </c>
      <c r="CA19" s="126">
        <v>0</v>
      </c>
      <c r="CB19" s="126">
        <v>0</v>
      </c>
      <c r="CC19" s="126">
        <v>0</v>
      </c>
      <c r="CD19" s="126">
        <v>0</v>
      </c>
      <c r="CE19" s="126">
        <v>0</v>
      </c>
      <c r="CF19" s="126">
        <v>0</v>
      </c>
      <c r="CG19" s="126">
        <v>0</v>
      </c>
      <c r="CH19" s="126">
        <v>0</v>
      </c>
      <c r="CI19" s="126" t="e">
        <f>#REF!</f>
        <v>#REF!</v>
      </c>
      <c r="CJ19" s="127"/>
      <c r="CK19" s="127"/>
      <c r="CL19" s="127"/>
    </row>
    <row r="20" spans="1:90" s="79" customFormat="1" ht="26.1" customHeight="1" thickBot="1" x14ac:dyDescent="0.25">
      <c r="A20" s="277" t="str">
        <f>CB20</f>
        <v>※ご同意頂ける規約の□印にチェック(■印)をお願いいたします。なお、ご同意頂けない場合は、サービスのご利用はできません。</v>
      </c>
      <c r="B20" s="278"/>
      <c r="C20" s="278"/>
      <c r="D20" s="278"/>
      <c r="E20" s="278"/>
      <c r="F20" s="278"/>
      <c r="G20" s="278"/>
      <c r="H20" s="278"/>
      <c r="I20" s="278"/>
      <c r="J20" s="278"/>
      <c r="K20" s="278"/>
      <c r="L20" s="278"/>
      <c r="M20" s="278"/>
      <c r="N20" s="278"/>
      <c r="O20" s="278"/>
      <c r="P20" s="278"/>
      <c r="Q20" s="278"/>
      <c r="R20" s="278"/>
      <c r="S20" s="278"/>
      <c r="T20" s="278"/>
      <c r="U20" s="278"/>
      <c r="V20" s="278"/>
      <c r="W20" s="278"/>
      <c r="X20" s="278"/>
      <c r="Y20" s="278"/>
      <c r="Z20" s="278"/>
      <c r="AA20" s="278"/>
      <c r="AB20" s="278"/>
      <c r="AC20" s="278"/>
      <c r="AD20" s="278"/>
      <c r="AE20" s="278"/>
      <c r="AF20" s="278"/>
      <c r="AG20" s="278"/>
      <c r="AH20" s="278"/>
      <c r="AI20" s="278"/>
      <c r="AJ20" s="278"/>
      <c r="AK20" s="278"/>
      <c r="BY20" s="126" t="e">
        <f>#REF!</f>
        <v>#REF!</v>
      </c>
      <c r="BZ20" s="126">
        <v>0</v>
      </c>
      <c r="CA20" s="126">
        <v>0</v>
      </c>
      <c r="CB20" s="126" t="s">
        <v>239</v>
      </c>
      <c r="CC20" s="126" t="s">
        <v>240</v>
      </c>
      <c r="CD20" s="126" t="s">
        <v>234</v>
      </c>
      <c r="CE20" s="126">
        <v>0</v>
      </c>
      <c r="CF20" s="126">
        <v>0</v>
      </c>
      <c r="CG20" s="126">
        <v>0</v>
      </c>
      <c r="CH20" s="126">
        <v>0</v>
      </c>
      <c r="CI20" s="126" t="e">
        <f>#REF!</f>
        <v>#REF!</v>
      </c>
      <c r="CJ20" s="133"/>
      <c r="CK20" s="133"/>
      <c r="CL20" s="133"/>
    </row>
    <row r="21" spans="1:90" ht="8.1" customHeight="1" x14ac:dyDescent="0.15">
      <c r="A21" s="291" t="s">
        <v>6</v>
      </c>
      <c r="B21" s="292"/>
      <c r="C21" s="292"/>
      <c r="D21" s="292"/>
      <c r="E21" s="292"/>
      <c r="F21" s="292"/>
      <c r="G21" s="293"/>
      <c r="H21" s="40"/>
      <c r="I21" s="28"/>
      <c r="J21" s="27"/>
      <c r="K21" s="28"/>
      <c r="L21" s="28"/>
      <c r="M21" s="28"/>
      <c r="N21" s="28"/>
      <c r="O21" s="28"/>
      <c r="P21" s="28"/>
      <c r="Q21" s="28"/>
      <c r="R21" s="28"/>
      <c r="S21" s="28"/>
      <c r="T21" s="28"/>
      <c r="U21" s="28"/>
      <c r="V21" s="28"/>
      <c r="W21" s="28"/>
      <c r="X21" s="28"/>
      <c r="Y21" s="28"/>
      <c r="Z21" s="28"/>
      <c r="AA21" s="28"/>
      <c r="AB21" s="38"/>
      <c r="AC21" s="28"/>
      <c r="AD21" s="28"/>
      <c r="AE21" s="28"/>
      <c r="AF21" s="28"/>
      <c r="AG21" s="28"/>
      <c r="AH21" s="28"/>
      <c r="AI21" s="28"/>
      <c r="AJ21" s="28"/>
      <c r="AK21" s="29"/>
      <c r="BY21" s="126" t="e">
        <f>#REF!</f>
        <v>#REF!</v>
      </c>
      <c r="BZ21" s="126">
        <v>0</v>
      </c>
      <c r="CA21" s="126">
        <v>0</v>
      </c>
      <c r="CB21" s="126">
        <v>0</v>
      </c>
      <c r="CC21" s="126">
        <v>0</v>
      </c>
      <c r="CD21" s="126">
        <v>0</v>
      </c>
      <c r="CE21" s="126">
        <v>0</v>
      </c>
      <c r="CF21" s="126">
        <v>0</v>
      </c>
      <c r="CG21" s="126">
        <v>0</v>
      </c>
      <c r="CH21" s="126">
        <v>0</v>
      </c>
      <c r="CI21" s="126" t="e">
        <f>#REF!</f>
        <v>#REF!</v>
      </c>
    </row>
    <row r="22" spans="1:90" s="14" customFormat="1" ht="18" customHeight="1" x14ac:dyDescent="0.15">
      <c r="A22" s="294"/>
      <c r="B22" s="295"/>
      <c r="C22" s="295"/>
      <c r="D22" s="295"/>
      <c r="E22" s="295"/>
      <c r="F22" s="295"/>
      <c r="G22" s="296"/>
      <c r="H22" s="41"/>
      <c r="I22" s="110" t="s">
        <v>82</v>
      </c>
      <c r="J22" s="124" t="s">
        <v>23</v>
      </c>
      <c r="K22" s="15"/>
      <c r="L22" s="15"/>
      <c r="M22" s="15"/>
      <c r="N22" s="15"/>
      <c r="O22" s="15"/>
      <c r="P22" s="15"/>
      <c r="Q22" s="15"/>
      <c r="R22" s="15"/>
      <c r="S22" s="15"/>
      <c r="T22" s="15"/>
      <c r="U22" s="15"/>
      <c r="V22" s="15"/>
      <c r="W22" s="15"/>
      <c r="X22" s="15"/>
      <c r="Y22" s="15"/>
      <c r="Z22" s="15"/>
      <c r="AA22" s="15"/>
      <c r="AB22" s="15"/>
      <c r="AC22" s="15"/>
      <c r="AD22" s="15"/>
      <c r="AE22" s="15"/>
      <c r="AF22" s="15"/>
      <c r="AG22" s="39"/>
      <c r="AH22" s="15"/>
      <c r="AI22" s="15"/>
      <c r="AJ22" s="15"/>
      <c r="AK22" s="42"/>
      <c r="BY22" s="126" t="e">
        <f>#REF!</f>
        <v>#REF!</v>
      </c>
      <c r="BZ22" s="126">
        <v>0</v>
      </c>
      <c r="CA22" s="126" t="s">
        <v>219</v>
      </c>
      <c r="CB22" s="126">
        <v>0</v>
      </c>
      <c r="CC22" s="126">
        <v>0</v>
      </c>
      <c r="CD22" s="126">
        <v>0</v>
      </c>
      <c r="CE22" s="126">
        <v>0</v>
      </c>
      <c r="CF22" s="126">
        <v>0</v>
      </c>
      <c r="CG22" s="126">
        <v>0</v>
      </c>
      <c r="CH22" s="126">
        <v>0</v>
      </c>
      <c r="CI22" s="126" t="e">
        <f>#REF!</f>
        <v>#REF!</v>
      </c>
      <c r="CJ22" s="127"/>
      <c r="CK22" s="127"/>
      <c r="CL22" s="127"/>
    </row>
    <row r="23" spans="1:90" s="14" customFormat="1" ht="18" customHeight="1" x14ac:dyDescent="0.15">
      <c r="A23" s="294"/>
      <c r="B23" s="295"/>
      <c r="C23" s="295"/>
      <c r="D23" s="295"/>
      <c r="E23" s="295"/>
      <c r="F23" s="295"/>
      <c r="G23" s="296"/>
      <c r="H23" s="41"/>
      <c r="I23" s="34"/>
      <c r="J23" s="124"/>
      <c r="K23" s="184" t="s">
        <v>41</v>
      </c>
      <c r="L23" s="15"/>
      <c r="M23" s="15"/>
      <c r="N23" s="15"/>
      <c r="O23" s="15"/>
      <c r="P23" s="15"/>
      <c r="Q23" s="15"/>
      <c r="R23" s="15"/>
      <c r="S23" s="15"/>
      <c r="T23" s="15"/>
      <c r="U23" s="15"/>
      <c r="V23" s="15"/>
      <c r="W23" s="15"/>
      <c r="X23" s="15"/>
      <c r="Y23" s="15"/>
      <c r="Z23" s="15"/>
      <c r="AA23" s="15"/>
      <c r="AB23" s="15"/>
      <c r="AC23" s="15"/>
      <c r="AD23" s="15"/>
      <c r="AE23" s="15"/>
      <c r="AF23" s="15"/>
      <c r="AG23" s="39"/>
      <c r="AH23" s="15"/>
      <c r="AI23" s="15"/>
      <c r="AJ23" s="15"/>
      <c r="AK23" s="42"/>
      <c r="BY23" s="126" t="e">
        <f>#REF!</f>
        <v>#REF!</v>
      </c>
      <c r="BZ23" s="126">
        <v>0</v>
      </c>
      <c r="CA23" s="126" t="s">
        <v>219</v>
      </c>
      <c r="CB23" s="126">
        <v>0</v>
      </c>
      <c r="CC23" s="126">
        <v>0</v>
      </c>
      <c r="CD23" s="126">
        <v>0</v>
      </c>
      <c r="CE23" s="126">
        <v>0</v>
      </c>
      <c r="CF23" s="126">
        <v>0</v>
      </c>
      <c r="CG23" s="126">
        <v>0</v>
      </c>
      <c r="CH23" s="126" t="s">
        <v>241</v>
      </c>
      <c r="CI23" s="126" t="e">
        <f>#REF!</f>
        <v>#REF!</v>
      </c>
      <c r="CJ23" s="127"/>
      <c r="CK23" s="127"/>
      <c r="CL23" s="127"/>
    </row>
    <row r="24" spans="1:90" s="14" customFormat="1" ht="18" customHeight="1" x14ac:dyDescent="0.2">
      <c r="A24" s="294"/>
      <c r="B24" s="295"/>
      <c r="C24" s="295"/>
      <c r="D24" s="295"/>
      <c r="E24" s="295"/>
      <c r="F24" s="295"/>
      <c r="G24" s="296"/>
      <c r="H24" s="13"/>
      <c r="I24" s="110" t="s">
        <v>82</v>
      </c>
      <c r="J24" s="124" t="s">
        <v>22</v>
      </c>
      <c r="K24" s="13"/>
      <c r="L24" s="13"/>
      <c r="M24" s="13"/>
      <c r="N24" s="13"/>
      <c r="O24" s="13"/>
      <c r="P24" s="13"/>
      <c r="Q24" s="13"/>
      <c r="R24" s="13"/>
      <c r="S24" s="13"/>
      <c r="T24" s="13"/>
      <c r="U24" s="13"/>
      <c r="V24" s="13"/>
      <c r="W24" s="13"/>
      <c r="X24" s="13"/>
      <c r="Y24" s="13"/>
      <c r="Z24" s="13"/>
      <c r="AA24" s="13"/>
      <c r="AB24" s="13"/>
      <c r="AC24" s="13"/>
      <c r="AD24" s="13"/>
      <c r="AE24" s="13"/>
      <c r="AF24" s="13"/>
      <c r="AG24" s="39"/>
      <c r="AH24" s="15"/>
      <c r="AI24" s="15"/>
      <c r="AJ24" s="15"/>
      <c r="AK24" s="31"/>
      <c r="AM24" s="1"/>
      <c r="BY24" s="126" t="e">
        <f>#REF!</f>
        <v>#REF!</v>
      </c>
      <c r="BZ24" s="126">
        <v>0</v>
      </c>
      <c r="CA24" s="126" t="s">
        <v>219</v>
      </c>
      <c r="CB24" s="126">
        <v>0</v>
      </c>
      <c r="CC24" s="126">
        <v>0</v>
      </c>
      <c r="CD24" s="126">
        <v>0</v>
      </c>
      <c r="CE24" s="126">
        <v>0</v>
      </c>
      <c r="CF24" s="126">
        <v>0</v>
      </c>
      <c r="CG24" s="126">
        <v>0</v>
      </c>
      <c r="CH24" s="126" t="e">
        <v>#REF!</v>
      </c>
      <c r="CI24" s="126" t="e">
        <f>#REF!</f>
        <v>#REF!</v>
      </c>
      <c r="CJ24" s="127"/>
      <c r="CK24" s="127"/>
      <c r="CL24" s="127"/>
    </row>
    <row r="25" spans="1:90" s="14" customFormat="1" ht="18" customHeight="1" x14ac:dyDescent="0.2">
      <c r="A25" s="294"/>
      <c r="B25" s="295"/>
      <c r="C25" s="295"/>
      <c r="D25" s="295"/>
      <c r="E25" s="295"/>
      <c r="F25" s="295"/>
      <c r="G25" s="296"/>
      <c r="H25" s="13"/>
      <c r="I25" s="34"/>
      <c r="J25" s="124"/>
      <c r="K25" s="184" t="s">
        <v>42</v>
      </c>
      <c r="L25" s="13"/>
      <c r="M25" s="13"/>
      <c r="N25" s="13"/>
      <c r="O25" s="13"/>
      <c r="P25" s="13"/>
      <c r="Q25" s="13"/>
      <c r="R25" s="13"/>
      <c r="S25" s="13"/>
      <c r="T25" s="13"/>
      <c r="U25" s="13"/>
      <c r="V25" s="13"/>
      <c r="W25" s="13"/>
      <c r="X25" s="13"/>
      <c r="Y25" s="13"/>
      <c r="Z25" s="13"/>
      <c r="AA25" s="13"/>
      <c r="AB25" s="13"/>
      <c r="AC25" s="13"/>
      <c r="AD25" s="13"/>
      <c r="AE25" s="13"/>
      <c r="AF25" s="13"/>
      <c r="AG25" s="39"/>
      <c r="AH25" s="15"/>
      <c r="AI25" s="15"/>
      <c r="AJ25" s="15"/>
      <c r="AK25" s="31"/>
      <c r="AM25" s="1"/>
      <c r="BY25" s="126" t="e">
        <f>#REF!</f>
        <v>#REF!</v>
      </c>
      <c r="BZ25" s="126">
        <v>0</v>
      </c>
      <c r="CA25" s="126" t="s">
        <v>219</v>
      </c>
      <c r="CB25" s="126">
        <v>0</v>
      </c>
      <c r="CC25" s="126">
        <v>0</v>
      </c>
      <c r="CD25" s="126">
        <v>0</v>
      </c>
      <c r="CE25" s="126">
        <v>0</v>
      </c>
      <c r="CF25" s="126">
        <v>0</v>
      </c>
      <c r="CG25" s="126">
        <v>0</v>
      </c>
      <c r="CH25" s="126" t="e">
        <v>#REF!</v>
      </c>
      <c r="CI25" s="126" t="e">
        <f>#REF!</f>
        <v>#REF!</v>
      </c>
      <c r="CJ25" s="127"/>
      <c r="CK25" s="127"/>
      <c r="CL25" s="127"/>
    </row>
    <row r="26" spans="1:90" s="14" customFormat="1" ht="18" hidden="1" customHeight="1" x14ac:dyDescent="0.2">
      <c r="A26" s="294"/>
      <c r="B26" s="295"/>
      <c r="C26" s="295"/>
      <c r="D26" s="295"/>
      <c r="E26" s="295"/>
      <c r="F26" s="295"/>
      <c r="G26" s="296"/>
      <c r="H26" s="13"/>
      <c r="I26" s="110" t="s">
        <v>82</v>
      </c>
      <c r="J26" s="124" t="s">
        <v>150</v>
      </c>
      <c r="K26" s="13"/>
      <c r="L26" s="13"/>
      <c r="M26" s="13"/>
      <c r="N26" s="13"/>
      <c r="O26" s="13"/>
      <c r="P26" s="13"/>
      <c r="Q26" s="13"/>
      <c r="R26" s="13"/>
      <c r="S26" s="13"/>
      <c r="T26" s="13"/>
      <c r="U26" s="13"/>
      <c r="V26" s="30"/>
      <c r="W26" s="13"/>
      <c r="X26" s="13"/>
      <c r="Y26" s="13"/>
      <c r="Z26" s="13"/>
      <c r="AA26" s="13"/>
      <c r="AB26" s="13"/>
      <c r="AC26" s="13"/>
      <c r="AD26" s="13"/>
      <c r="AE26" s="13"/>
      <c r="AF26" s="13"/>
      <c r="AG26" s="39"/>
      <c r="AH26" s="15"/>
      <c r="AI26" s="15"/>
      <c r="AJ26" s="15"/>
      <c r="AK26" s="31"/>
      <c r="BY26" s="126" t="e">
        <f>#REF!</f>
        <v>#REF!</v>
      </c>
      <c r="BZ26" s="126">
        <v>0</v>
      </c>
      <c r="CA26" s="126" t="s">
        <v>47</v>
      </c>
      <c r="CB26" s="126">
        <v>0</v>
      </c>
      <c r="CC26" s="126">
        <v>0</v>
      </c>
      <c r="CD26" s="126">
        <v>0</v>
      </c>
      <c r="CE26" s="126">
        <v>0</v>
      </c>
      <c r="CF26" s="126">
        <v>0</v>
      </c>
      <c r="CG26" s="126">
        <v>0</v>
      </c>
      <c r="CH26" s="126" t="e">
        <v>#REF!</v>
      </c>
      <c r="CI26" s="126" t="e">
        <f>#REF!</f>
        <v>#REF!</v>
      </c>
      <c r="CJ26" s="127"/>
      <c r="CK26" s="127"/>
      <c r="CL26" s="127"/>
    </row>
    <row r="27" spans="1:90" s="14" customFormat="1" ht="18" hidden="1" customHeight="1" x14ac:dyDescent="0.2">
      <c r="A27" s="294"/>
      <c r="B27" s="295"/>
      <c r="C27" s="295"/>
      <c r="D27" s="295"/>
      <c r="E27" s="295"/>
      <c r="F27" s="295"/>
      <c r="G27" s="296"/>
      <c r="H27" s="13"/>
      <c r="I27" s="34"/>
      <c r="J27" s="124"/>
      <c r="K27" s="184" t="s">
        <v>151</v>
      </c>
      <c r="L27" s="13"/>
      <c r="M27" s="13"/>
      <c r="N27" s="13"/>
      <c r="O27" s="13"/>
      <c r="P27" s="13"/>
      <c r="Q27" s="13"/>
      <c r="R27" s="13"/>
      <c r="S27" s="13"/>
      <c r="T27" s="13"/>
      <c r="U27" s="13"/>
      <c r="V27" s="30"/>
      <c r="W27" s="13"/>
      <c r="X27" s="13"/>
      <c r="Y27" s="13"/>
      <c r="Z27" s="13"/>
      <c r="AA27" s="13"/>
      <c r="AB27" s="13"/>
      <c r="AC27" s="13"/>
      <c r="AD27" s="13"/>
      <c r="AE27" s="13"/>
      <c r="AF27" s="13"/>
      <c r="AG27" s="39"/>
      <c r="AH27" s="15"/>
      <c r="AI27" s="15"/>
      <c r="AJ27" s="15"/>
      <c r="AK27" s="31"/>
      <c r="BY27" s="126" t="e">
        <f>#REF!</f>
        <v>#REF!</v>
      </c>
      <c r="BZ27" s="126">
        <v>0</v>
      </c>
      <c r="CA27" s="126" t="s">
        <v>47</v>
      </c>
      <c r="CB27" s="126">
        <v>0</v>
      </c>
      <c r="CC27" s="126">
        <v>0</v>
      </c>
      <c r="CD27" s="126">
        <v>0</v>
      </c>
      <c r="CE27" s="126">
        <v>0</v>
      </c>
      <c r="CF27" s="126">
        <v>0</v>
      </c>
      <c r="CG27" s="126">
        <v>0</v>
      </c>
      <c r="CH27" s="126" t="e">
        <v>#REF!</v>
      </c>
      <c r="CI27" s="126" t="e">
        <f>#REF!</f>
        <v>#REF!</v>
      </c>
      <c r="CJ27" s="127"/>
      <c r="CK27" s="127"/>
      <c r="CL27" s="127"/>
    </row>
    <row r="28" spans="1:90" s="14" customFormat="1" ht="18" hidden="1" customHeight="1" x14ac:dyDescent="0.2">
      <c r="A28" s="294"/>
      <c r="B28" s="295"/>
      <c r="C28" s="295"/>
      <c r="D28" s="295"/>
      <c r="E28" s="295"/>
      <c r="F28" s="295"/>
      <c r="G28" s="296"/>
      <c r="H28" s="43"/>
      <c r="I28" s="139" t="s">
        <v>82</v>
      </c>
      <c r="J28" s="161"/>
      <c r="K28" s="43"/>
      <c r="L28" s="43"/>
      <c r="M28" s="43"/>
      <c r="N28" s="43"/>
      <c r="O28" s="43"/>
      <c r="P28" s="43"/>
      <c r="Q28" s="43"/>
      <c r="R28" s="43"/>
      <c r="S28" s="43"/>
      <c r="T28" s="43"/>
      <c r="U28" s="43"/>
      <c r="V28" s="43"/>
      <c r="W28" s="43"/>
      <c r="X28" s="43"/>
      <c r="Y28" s="43"/>
      <c r="Z28" s="43"/>
      <c r="AA28" s="43"/>
      <c r="AB28" s="43"/>
      <c r="AC28" s="43"/>
      <c r="AD28" s="43"/>
      <c r="AE28" s="43"/>
      <c r="AF28" s="43"/>
      <c r="AG28" s="162"/>
      <c r="AH28" s="163"/>
      <c r="AI28" s="163"/>
      <c r="AJ28" s="163"/>
      <c r="AK28" s="164"/>
      <c r="BY28" s="126" t="e">
        <f>#REF!</f>
        <v>#REF!</v>
      </c>
      <c r="BZ28" s="126">
        <v>0</v>
      </c>
      <c r="CA28" s="126" t="s">
        <v>47</v>
      </c>
      <c r="CB28" s="126">
        <v>0</v>
      </c>
      <c r="CC28" s="126">
        <v>0</v>
      </c>
      <c r="CD28" s="126">
        <v>0</v>
      </c>
      <c r="CE28" s="126">
        <v>0</v>
      </c>
      <c r="CF28" s="126">
        <v>0</v>
      </c>
      <c r="CG28" s="126">
        <v>0</v>
      </c>
      <c r="CH28" s="126" t="e">
        <v>#REF!</v>
      </c>
      <c r="CI28" s="126" t="e">
        <f>#REF!</f>
        <v>#REF!</v>
      </c>
      <c r="CJ28" s="127"/>
      <c r="CK28" s="127"/>
      <c r="CL28" s="127"/>
    </row>
    <row r="29" spans="1:90" s="14" customFormat="1" ht="18" hidden="1" customHeight="1" x14ac:dyDescent="0.2">
      <c r="A29" s="294"/>
      <c r="B29" s="295"/>
      <c r="C29" s="295"/>
      <c r="D29" s="295"/>
      <c r="E29" s="295"/>
      <c r="F29" s="295"/>
      <c r="G29" s="296"/>
      <c r="H29" s="43"/>
      <c r="I29" s="59"/>
      <c r="J29" s="161"/>
      <c r="K29" s="43"/>
      <c r="L29" s="43"/>
      <c r="M29" s="43"/>
      <c r="N29" s="43"/>
      <c r="O29" s="43"/>
      <c r="P29" s="43"/>
      <c r="Q29" s="43"/>
      <c r="R29" s="43"/>
      <c r="S29" s="43"/>
      <c r="T29" s="43"/>
      <c r="U29" s="43"/>
      <c r="V29" s="43"/>
      <c r="W29" s="43"/>
      <c r="X29" s="43"/>
      <c r="Y29" s="43"/>
      <c r="Z29" s="43"/>
      <c r="AA29" s="43"/>
      <c r="AB29" s="43"/>
      <c r="AC29" s="43"/>
      <c r="AD29" s="43"/>
      <c r="AE29" s="43"/>
      <c r="AF29" s="43"/>
      <c r="AG29" s="162"/>
      <c r="AH29" s="163"/>
      <c r="AI29" s="163"/>
      <c r="AJ29" s="163"/>
      <c r="AK29" s="164"/>
      <c r="BY29" s="126" t="e">
        <f>#REF!</f>
        <v>#REF!</v>
      </c>
      <c r="BZ29" s="126">
        <v>0</v>
      </c>
      <c r="CA29" s="126" t="s">
        <v>47</v>
      </c>
      <c r="CB29" s="126">
        <v>0</v>
      </c>
      <c r="CC29" s="126">
        <v>0</v>
      </c>
      <c r="CD29" s="126">
        <v>0</v>
      </c>
      <c r="CE29" s="126">
        <v>0</v>
      </c>
      <c r="CF29" s="126">
        <v>0</v>
      </c>
      <c r="CG29" s="126">
        <v>0</v>
      </c>
      <c r="CH29" s="126" t="e">
        <v>#REF!</v>
      </c>
      <c r="CI29" s="126" t="e">
        <f>#REF!</f>
        <v>#REF!</v>
      </c>
      <c r="CJ29" s="127"/>
      <c r="CK29" s="127"/>
      <c r="CL29" s="127"/>
    </row>
    <row r="30" spans="1:90" s="14" customFormat="1" ht="18" hidden="1" customHeight="1" x14ac:dyDescent="0.2">
      <c r="A30" s="294"/>
      <c r="B30" s="295"/>
      <c r="C30" s="295"/>
      <c r="D30" s="295"/>
      <c r="E30" s="295"/>
      <c r="F30" s="295"/>
      <c r="G30" s="296"/>
      <c r="H30" s="13"/>
      <c r="I30" s="110" t="s">
        <v>82</v>
      </c>
      <c r="J30" s="124" t="s">
        <v>74</v>
      </c>
      <c r="K30" s="13"/>
      <c r="L30" s="13"/>
      <c r="M30" s="13"/>
      <c r="N30" s="13"/>
      <c r="O30" s="13"/>
      <c r="P30" s="13"/>
      <c r="Q30" s="13"/>
      <c r="R30" s="13"/>
      <c r="S30" s="13"/>
      <c r="T30" s="13"/>
      <c r="U30" s="13"/>
      <c r="V30" s="30"/>
      <c r="W30" s="13"/>
      <c r="X30" s="13"/>
      <c r="Y30" s="13"/>
      <c r="Z30" s="13"/>
      <c r="AA30" s="13"/>
      <c r="AB30" s="13"/>
      <c r="AC30" s="13"/>
      <c r="AD30" s="13"/>
      <c r="AE30" s="13"/>
      <c r="AF30" s="13"/>
      <c r="AG30" s="39"/>
      <c r="AH30" s="15"/>
      <c r="AI30" s="15"/>
      <c r="AJ30" s="15"/>
      <c r="AK30" s="31"/>
      <c r="BY30" s="126" t="e">
        <f>#REF!</f>
        <v>#REF!</v>
      </c>
      <c r="BZ30" s="126">
        <v>0</v>
      </c>
      <c r="CA30" s="126" t="s">
        <v>47</v>
      </c>
      <c r="CB30" s="126">
        <v>0</v>
      </c>
      <c r="CC30" s="126">
        <v>0</v>
      </c>
      <c r="CD30" s="126">
        <v>0</v>
      </c>
      <c r="CE30" s="126">
        <v>0</v>
      </c>
      <c r="CF30" s="126">
        <v>0</v>
      </c>
      <c r="CG30" s="126">
        <v>0</v>
      </c>
      <c r="CH30" s="126" t="e">
        <v>#REF!</v>
      </c>
      <c r="CI30" s="126" t="e">
        <f>#REF!</f>
        <v>#REF!</v>
      </c>
      <c r="CJ30" s="127"/>
      <c r="CK30" s="127"/>
      <c r="CL30" s="127"/>
    </row>
    <row r="31" spans="1:90" s="14" customFormat="1" ht="18" hidden="1" customHeight="1" x14ac:dyDescent="0.2">
      <c r="A31" s="294"/>
      <c r="B31" s="295"/>
      <c r="C31" s="295"/>
      <c r="D31" s="295"/>
      <c r="E31" s="295"/>
      <c r="F31" s="295"/>
      <c r="G31" s="296"/>
      <c r="H31" s="13"/>
      <c r="I31" s="34"/>
      <c r="J31" s="124"/>
      <c r="K31" s="184" t="s">
        <v>162</v>
      </c>
      <c r="L31" s="13"/>
      <c r="M31" s="13"/>
      <c r="N31" s="13"/>
      <c r="O31" s="13"/>
      <c r="P31" s="13"/>
      <c r="Q31" s="13"/>
      <c r="R31" s="13"/>
      <c r="S31" s="13"/>
      <c r="T31" s="13"/>
      <c r="U31" s="13"/>
      <c r="V31" s="30"/>
      <c r="W31" s="13"/>
      <c r="X31" s="13"/>
      <c r="Y31" s="13"/>
      <c r="Z31" s="13"/>
      <c r="AA31" s="13"/>
      <c r="AB31" s="13"/>
      <c r="AC31" s="13"/>
      <c r="AD31" s="13"/>
      <c r="AE31" s="13"/>
      <c r="AF31" s="13"/>
      <c r="AG31" s="39"/>
      <c r="AH31" s="15"/>
      <c r="AI31" s="15"/>
      <c r="AJ31" s="15"/>
      <c r="AK31" s="31"/>
      <c r="BY31" s="126" t="e">
        <f>#REF!</f>
        <v>#REF!</v>
      </c>
      <c r="BZ31" s="126">
        <v>0</v>
      </c>
      <c r="CA31" s="126" t="s">
        <v>47</v>
      </c>
      <c r="CB31" s="126">
        <v>0</v>
      </c>
      <c r="CC31" s="126">
        <v>0</v>
      </c>
      <c r="CD31" s="126">
        <v>0</v>
      </c>
      <c r="CE31" s="126">
        <v>0</v>
      </c>
      <c r="CF31" s="126">
        <v>0</v>
      </c>
      <c r="CG31" s="126">
        <v>0</v>
      </c>
      <c r="CH31" s="126" t="e">
        <v>#REF!</v>
      </c>
      <c r="CI31" s="126" t="e">
        <f>#REF!</f>
        <v>#REF!</v>
      </c>
      <c r="CJ31" s="127"/>
      <c r="CK31" s="127"/>
      <c r="CL31" s="127"/>
    </row>
    <row r="32" spans="1:90" s="14" customFormat="1" ht="18" hidden="1" customHeight="1" x14ac:dyDescent="0.2">
      <c r="A32" s="294"/>
      <c r="B32" s="295"/>
      <c r="C32" s="295"/>
      <c r="D32" s="295"/>
      <c r="E32" s="295"/>
      <c r="F32" s="295"/>
      <c r="G32" s="296"/>
      <c r="H32" s="13"/>
      <c r="I32" s="110" t="s">
        <v>82</v>
      </c>
      <c r="J32" s="1" t="s">
        <v>78</v>
      </c>
      <c r="K32" s="13"/>
      <c r="L32" s="13"/>
      <c r="M32" s="13"/>
      <c r="N32" s="13"/>
      <c r="O32" s="13"/>
      <c r="P32" s="13"/>
      <c r="Q32" s="13"/>
      <c r="R32" s="13"/>
      <c r="S32" s="13"/>
      <c r="T32" s="13"/>
      <c r="U32" s="13"/>
      <c r="V32" s="13"/>
      <c r="W32" s="13"/>
      <c r="X32" s="13"/>
      <c r="Y32" s="13"/>
      <c r="Z32" s="13"/>
      <c r="AA32" s="30"/>
      <c r="AB32" s="13"/>
      <c r="AC32" s="13"/>
      <c r="AD32" s="13"/>
      <c r="AE32" s="13"/>
      <c r="AF32" s="30"/>
      <c r="AG32" s="39"/>
      <c r="AH32" s="15"/>
      <c r="AI32" s="15"/>
      <c r="AJ32" s="15"/>
      <c r="AK32" s="31"/>
      <c r="BY32" s="126" t="e">
        <f>#REF!</f>
        <v>#REF!</v>
      </c>
      <c r="BZ32" s="126">
        <v>0</v>
      </c>
      <c r="CA32" s="126" t="s">
        <v>47</v>
      </c>
      <c r="CB32" s="126">
        <v>0</v>
      </c>
      <c r="CC32" s="126">
        <v>0</v>
      </c>
      <c r="CD32" s="126">
        <v>0</v>
      </c>
      <c r="CE32" s="126">
        <v>0</v>
      </c>
      <c r="CF32" s="126">
        <v>0</v>
      </c>
      <c r="CG32" s="126">
        <v>0</v>
      </c>
      <c r="CH32" s="126" t="e">
        <v>#REF!</v>
      </c>
      <c r="CI32" s="126" t="e">
        <f>#REF!</f>
        <v>#REF!</v>
      </c>
      <c r="CJ32" s="127"/>
      <c r="CK32" s="127"/>
      <c r="CL32" s="127"/>
    </row>
    <row r="33" spans="1:90" s="14" customFormat="1" ht="18" hidden="1" customHeight="1" x14ac:dyDescent="0.2">
      <c r="A33" s="294"/>
      <c r="B33" s="295"/>
      <c r="C33" s="295"/>
      <c r="D33" s="295"/>
      <c r="E33" s="295"/>
      <c r="F33" s="295"/>
      <c r="G33" s="296"/>
      <c r="H33" s="13"/>
      <c r="I33" s="34"/>
      <c r="J33" s="1"/>
      <c r="K33" s="184" t="s">
        <v>79</v>
      </c>
      <c r="L33" s="13"/>
      <c r="M33" s="13"/>
      <c r="N33" s="13"/>
      <c r="O33" s="13"/>
      <c r="P33" s="13"/>
      <c r="Q33" s="13"/>
      <c r="R33" s="13"/>
      <c r="S33" s="13"/>
      <c r="T33" s="13"/>
      <c r="U33" s="13"/>
      <c r="V33" s="13"/>
      <c r="W33" s="13"/>
      <c r="X33" s="13"/>
      <c r="Y33" s="13"/>
      <c r="Z33" s="13"/>
      <c r="AA33" s="30"/>
      <c r="AB33" s="13"/>
      <c r="AC33" s="13"/>
      <c r="AD33" s="13"/>
      <c r="AE33" s="13"/>
      <c r="AF33" s="30"/>
      <c r="AG33" s="39"/>
      <c r="AH33" s="15"/>
      <c r="AI33" s="15"/>
      <c r="AJ33" s="15"/>
      <c r="AK33" s="31"/>
      <c r="BY33" s="126" t="e">
        <f>#REF!</f>
        <v>#REF!</v>
      </c>
      <c r="BZ33" s="126">
        <v>0</v>
      </c>
      <c r="CA33" s="126" t="s">
        <v>47</v>
      </c>
      <c r="CB33" s="126">
        <v>0</v>
      </c>
      <c r="CC33" s="126">
        <v>0</v>
      </c>
      <c r="CD33" s="126">
        <v>0</v>
      </c>
      <c r="CE33" s="126">
        <v>0</v>
      </c>
      <c r="CF33" s="126">
        <v>0</v>
      </c>
      <c r="CG33" s="126">
        <v>0</v>
      </c>
      <c r="CH33" s="126" t="e">
        <v>#REF!</v>
      </c>
      <c r="CI33" s="126" t="e">
        <f>#REF!</f>
        <v>#REF!</v>
      </c>
      <c r="CJ33" s="127"/>
      <c r="CK33" s="127"/>
      <c r="CL33" s="127"/>
    </row>
    <row r="34" spans="1:90" s="14" customFormat="1" ht="18" hidden="1" customHeight="1" x14ac:dyDescent="0.2">
      <c r="A34" s="294"/>
      <c r="B34" s="295"/>
      <c r="C34" s="295"/>
      <c r="D34" s="295"/>
      <c r="E34" s="295"/>
      <c r="F34" s="295"/>
      <c r="G34" s="296"/>
      <c r="H34" s="13"/>
      <c r="I34" s="110" t="s">
        <v>82</v>
      </c>
      <c r="J34" s="1" t="s">
        <v>32</v>
      </c>
      <c r="K34" s="13"/>
      <c r="L34" s="13"/>
      <c r="M34" s="13"/>
      <c r="N34" s="13"/>
      <c r="O34" s="13"/>
      <c r="P34" s="13"/>
      <c r="Q34" s="13"/>
      <c r="R34" s="13"/>
      <c r="S34" s="13"/>
      <c r="T34" s="13"/>
      <c r="U34" s="13"/>
      <c r="V34" s="13"/>
      <c r="W34" s="13"/>
      <c r="X34" s="13"/>
      <c r="Y34" s="13"/>
      <c r="Z34" s="13"/>
      <c r="AA34" s="30"/>
      <c r="AB34" s="13"/>
      <c r="AC34" s="13"/>
      <c r="AD34" s="13"/>
      <c r="AE34" s="13"/>
      <c r="AF34" s="30"/>
      <c r="AG34" s="39"/>
      <c r="AH34" s="15"/>
      <c r="AI34" s="15"/>
      <c r="AJ34" s="15"/>
      <c r="AK34" s="31"/>
      <c r="BY34" s="126" t="e">
        <f>#REF!</f>
        <v>#REF!</v>
      </c>
      <c r="BZ34" s="126">
        <v>0</v>
      </c>
      <c r="CA34" s="126" t="s">
        <v>47</v>
      </c>
      <c r="CB34" s="126">
        <v>0</v>
      </c>
      <c r="CC34" s="126">
        <v>0</v>
      </c>
      <c r="CD34" s="126">
        <v>0</v>
      </c>
      <c r="CE34" s="126">
        <v>0</v>
      </c>
      <c r="CF34" s="126">
        <v>0</v>
      </c>
      <c r="CG34" s="126">
        <v>0</v>
      </c>
      <c r="CH34" s="126" t="e">
        <v>#REF!</v>
      </c>
      <c r="CI34" s="126" t="e">
        <f>#REF!</f>
        <v>#REF!</v>
      </c>
      <c r="CJ34" s="127"/>
      <c r="CK34" s="127"/>
      <c r="CL34" s="127"/>
    </row>
    <row r="35" spans="1:90" s="14" customFormat="1" ht="72" hidden="1" customHeight="1" x14ac:dyDescent="0.2">
      <c r="A35" s="294"/>
      <c r="B35" s="295"/>
      <c r="C35" s="295"/>
      <c r="D35" s="295"/>
      <c r="E35" s="295"/>
      <c r="F35" s="295"/>
      <c r="G35" s="296"/>
      <c r="H35" s="13"/>
      <c r="I35" s="34"/>
      <c r="J35" s="1"/>
      <c r="K35" s="288" t="s">
        <v>80</v>
      </c>
      <c r="L35" s="289"/>
      <c r="M35" s="289"/>
      <c r="N35" s="289"/>
      <c r="O35" s="289"/>
      <c r="P35" s="289"/>
      <c r="Q35" s="289"/>
      <c r="R35" s="289"/>
      <c r="S35" s="289"/>
      <c r="T35" s="289"/>
      <c r="U35" s="289"/>
      <c r="V35" s="289"/>
      <c r="W35" s="289"/>
      <c r="X35" s="289"/>
      <c r="Y35" s="289"/>
      <c r="Z35" s="289"/>
      <c r="AA35" s="289"/>
      <c r="AB35" s="289"/>
      <c r="AC35" s="289"/>
      <c r="AD35" s="289"/>
      <c r="AE35" s="289"/>
      <c r="AF35" s="289"/>
      <c r="AG35" s="289"/>
      <c r="AH35" s="289"/>
      <c r="AI35" s="289"/>
      <c r="AJ35" s="290"/>
      <c r="AK35" s="31"/>
      <c r="BY35" s="126" t="e">
        <f>#REF!</f>
        <v>#REF!</v>
      </c>
      <c r="BZ35" s="126">
        <v>0</v>
      </c>
      <c r="CA35" s="126" t="s">
        <v>47</v>
      </c>
      <c r="CB35" s="126">
        <v>0</v>
      </c>
      <c r="CC35" s="126">
        <v>0</v>
      </c>
      <c r="CD35" s="126">
        <v>0</v>
      </c>
      <c r="CE35" s="126">
        <v>0</v>
      </c>
      <c r="CF35" s="126">
        <v>0</v>
      </c>
      <c r="CG35" s="126">
        <v>0</v>
      </c>
      <c r="CH35" s="126" t="e">
        <v>#REF!</v>
      </c>
      <c r="CI35" s="126" t="e">
        <f>#REF!</f>
        <v>#REF!</v>
      </c>
      <c r="CJ35" s="127"/>
      <c r="CK35" s="127"/>
      <c r="CL35" s="127"/>
    </row>
    <row r="36" spans="1:90" s="14" customFormat="1" ht="18" hidden="1" customHeight="1" x14ac:dyDescent="0.2">
      <c r="A36" s="294"/>
      <c r="B36" s="295"/>
      <c r="C36" s="295"/>
      <c r="D36" s="295"/>
      <c r="E36" s="295"/>
      <c r="F36" s="295"/>
      <c r="G36" s="296"/>
      <c r="H36" s="13"/>
      <c r="I36" s="110" t="s">
        <v>82</v>
      </c>
      <c r="J36" s="1" t="s">
        <v>31</v>
      </c>
      <c r="AG36" s="58"/>
      <c r="AK36" s="42"/>
      <c r="BY36" s="126" t="e">
        <f>#REF!</f>
        <v>#REF!</v>
      </c>
      <c r="BZ36" s="126">
        <v>0</v>
      </c>
      <c r="CA36" s="126" t="s">
        <v>47</v>
      </c>
      <c r="CB36" s="126">
        <v>0</v>
      </c>
      <c r="CC36" s="126">
        <v>0</v>
      </c>
      <c r="CD36" s="126">
        <v>0</v>
      </c>
      <c r="CE36" s="126">
        <v>0</v>
      </c>
      <c r="CF36" s="126">
        <v>0</v>
      </c>
      <c r="CG36" s="126">
        <v>0</v>
      </c>
      <c r="CH36" s="126" t="e">
        <v>#REF!</v>
      </c>
      <c r="CI36" s="126" t="e">
        <f>#REF!</f>
        <v>#REF!</v>
      </c>
      <c r="CJ36" s="127"/>
      <c r="CK36" s="127"/>
      <c r="CL36" s="127"/>
    </row>
    <row r="37" spans="1:90" s="14" customFormat="1" ht="18" hidden="1" customHeight="1" x14ac:dyDescent="0.2">
      <c r="A37" s="294"/>
      <c r="B37" s="295"/>
      <c r="C37" s="295"/>
      <c r="D37" s="295"/>
      <c r="E37" s="295"/>
      <c r="F37" s="295"/>
      <c r="G37" s="296"/>
      <c r="H37" s="13"/>
      <c r="I37" s="34"/>
      <c r="J37" s="1"/>
      <c r="K37" s="184" t="s">
        <v>43</v>
      </c>
      <c r="AG37" s="58"/>
      <c r="AK37" s="42"/>
      <c r="BY37" s="126" t="e">
        <f>#REF!</f>
        <v>#REF!</v>
      </c>
      <c r="BZ37" s="126">
        <v>0</v>
      </c>
      <c r="CA37" s="126" t="s">
        <v>47</v>
      </c>
      <c r="CB37" s="126">
        <v>0</v>
      </c>
      <c r="CC37" s="126">
        <v>0</v>
      </c>
      <c r="CD37" s="126">
        <v>0</v>
      </c>
      <c r="CE37" s="126">
        <v>0</v>
      </c>
      <c r="CF37" s="126">
        <v>0</v>
      </c>
      <c r="CG37" s="126">
        <v>0</v>
      </c>
      <c r="CH37" s="126" t="e">
        <v>#REF!</v>
      </c>
      <c r="CI37" s="126" t="e">
        <f>#REF!</f>
        <v>#REF!</v>
      </c>
      <c r="CJ37" s="127"/>
      <c r="CK37" s="127"/>
      <c r="CL37" s="127"/>
    </row>
    <row r="38" spans="1:90" s="14" customFormat="1" ht="18" hidden="1" customHeight="1" x14ac:dyDescent="0.2">
      <c r="A38" s="294"/>
      <c r="B38" s="295"/>
      <c r="C38" s="295"/>
      <c r="D38" s="295"/>
      <c r="E38" s="295"/>
      <c r="F38" s="295"/>
      <c r="G38" s="296"/>
      <c r="H38" s="43"/>
      <c r="I38" s="111" t="s">
        <v>7</v>
      </c>
      <c r="J38" s="60" t="s">
        <v>33</v>
      </c>
      <c r="K38" s="61"/>
      <c r="L38" s="61"/>
      <c r="M38" s="61"/>
      <c r="N38" s="61"/>
      <c r="O38" s="61"/>
      <c r="P38" s="61"/>
      <c r="Q38" s="61"/>
      <c r="R38" s="61"/>
      <c r="S38" s="61"/>
      <c r="T38" s="61"/>
      <c r="U38" s="61"/>
      <c r="V38" s="61"/>
      <c r="W38" s="61"/>
      <c r="X38" s="61"/>
      <c r="Y38" s="61"/>
      <c r="Z38" s="61"/>
      <c r="AA38" s="61"/>
      <c r="AB38" s="61"/>
      <c r="AC38" s="61"/>
      <c r="AD38" s="61"/>
      <c r="AE38" s="61"/>
      <c r="AF38" s="61"/>
      <c r="AG38" s="62"/>
      <c r="AH38" s="61"/>
      <c r="AI38" s="61"/>
      <c r="AJ38" s="61"/>
      <c r="AK38" s="45"/>
      <c r="BY38" s="126" t="e">
        <f>#REF!</f>
        <v>#REF!</v>
      </c>
      <c r="BZ38" s="126">
        <v>0</v>
      </c>
      <c r="CA38" s="126" t="s">
        <v>47</v>
      </c>
      <c r="CB38" s="126">
        <v>0</v>
      </c>
      <c r="CC38" s="126">
        <v>0</v>
      </c>
      <c r="CD38" s="126">
        <v>0</v>
      </c>
      <c r="CE38" s="126">
        <v>0</v>
      </c>
      <c r="CF38" s="126">
        <v>0</v>
      </c>
      <c r="CG38" s="126">
        <v>0</v>
      </c>
      <c r="CH38" s="126" t="e">
        <v>#REF!</v>
      </c>
      <c r="CI38" s="126" t="e">
        <f>#REF!</f>
        <v>#REF!</v>
      </c>
      <c r="CJ38" s="127"/>
      <c r="CK38" s="127"/>
      <c r="CL38" s="127"/>
    </row>
    <row r="39" spans="1:90" s="14" customFormat="1" ht="18" hidden="1" customHeight="1" x14ac:dyDescent="0.2">
      <c r="A39" s="294"/>
      <c r="B39" s="295"/>
      <c r="C39" s="295"/>
      <c r="D39" s="295"/>
      <c r="E39" s="295"/>
      <c r="F39" s="295"/>
      <c r="G39" s="296"/>
      <c r="H39" s="43"/>
      <c r="I39" s="59"/>
      <c r="J39" s="60"/>
      <c r="K39" s="44" t="s">
        <v>44</v>
      </c>
      <c r="L39" s="61"/>
      <c r="M39" s="61"/>
      <c r="N39" s="61"/>
      <c r="O39" s="61"/>
      <c r="P39" s="61"/>
      <c r="Q39" s="61"/>
      <c r="R39" s="61"/>
      <c r="S39" s="61"/>
      <c r="T39" s="61"/>
      <c r="U39" s="61"/>
      <c r="V39" s="61"/>
      <c r="W39" s="61"/>
      <c r="X39" s="61"/>
      <c r="Y39" s="61"/>
      <c r="Z39" s="61"/>
      <c r="AA39" s="61"/>
      <c r="AB39" s="61"/>
      <c r="AC39" s="61"/>
      <c r="AD39" s="61"/>
      <c r="AE39" s="61"/>
      <c r="AF39" s="61"/>
      <c r="AG39" s="62"/>
      <c r="AH39" s="61"/>
      <c r="AI39" s="61"/>
      <c r="AJ39" s="61"/>
      <c r="AK39" s="45"/>
      <c r="BY39" s="126" t="e">
        <f>#REF!</f>
        <v>#REF!</v>
      </c>
      <c r="BZ39" s="126">
        <v>0</v>
      </c>
      <c r="CA39" s="126" t="s">
        <v>47</v>
      </c>
      <c r="CB39" s="126">
        <v>0</v>
      </c>
      <c r="CC39" s="126">
        <v>0</v>
      </c>
      <c r="CD39" s="126">
        <v>0</v>
      </c>
      <c r="CE39" s="126">
        <v>0</v>
      </c>
      <c r="CF39" s="126">
        <v>0</v>
      </c>
      <c r="CG39" s="126">
        <v>0</v>
      </c>
      <c r="CH39" s="126">
        <v>0</v>
      </c>
      <c r="CI39" s="126" t="e">
        <f>#REF!</f>
        <v>#REF!</v>
      </c>
      <c r="CJ39" s="127"/>
      <c r="CK39" s="127"/>
      <c r="CL39" s="127"/>
    </row>
    <row r="40" spans="1:90" s="14" customFormat="1" ht="18" hidden="1" customHeight="1" x14ac:dyDescent="0.2">
      <c r="A40" s="294"/>
      <c r="B40" s="295"/>
      <c r="C40" s="295"/>
      <c r="D40" s="295"/>
      <c r="E40" s="295"/>
      <c r="F40" s="295"/>
      <c r="G40" s="296"/>
      <c r="H40" s="13"/>
      <c r="I40" s="110" t="s">
        <v>82</v>
      </c>
      <c r="J40" s="1" t="s">
        <v>34</v>
      </c>
      <c r="AG40" s="58"/>
      <c r="AK40" s="42"/>
      <c r="BY40" s="126" t="e">
        <f>#REF!</f>
        <v>#REF!</v>
      </c>
      <c r="BZ40" s="126">
        <v>0</v>
      </c>
      <c r="CA40" s="126" t="s">
        <v>47</v>
      </c>
      <c r="CB40" s="126">
        <v>0</v>
      </c>
      <c r="CC40" s="126">
        <v>0</v>
      </c>
      <c r="CD40" s="126">
        <v>0</v>
      </c>
      <c r="CE40" s="126">
        <v>0</v>
      </c>
      <c r="CF40" s="126">
        <v>0</v>
      </c>
      <c r="CG40" s="126">
        <v>0</v>
      </c>
      <c r="CH40" s="126">
        <v>0</v>
      </c>
      <c r="CI40" s="126" t="e">
        <f>#REF!</f>
        <v>#REF!</v>
      </c>
      <c r="CJ40" s="127"/>
      <c r="CK40" s="127"/>
      <c r="CL40" s="127"/>
    </row>
    <row r="41" spans="1:90" s="14" customFormat="1" ht="18" hidden="1" customHeight="1" x14ac:dyDescent="0.2">
      <c r="A41" s="294"/>
      <c r="B41" s="295"/>
      <c r="C41" s="295"/>
      <c r="D41" s="295"/>
      <c r="E41" s="295"/>
      <c r="F41" s="295"/>
      <c r="G41" s="296"/>
      <c r="H41" s="13"/>
      <c r="I41" s="34"/>
      <c r="J41" s="1"/>
      <c r="K41" s="184" t="s">
        <v>163</v>
      </c>
      <c r="AG41" s="58"/>
      <c r="AK41" s="42"/>
      <c r="BY41" s="126" t="e">
        <f>#REF!</f>
        <v>#REF!</v>
      </c>
      <c r="BZ41" s="126">
        <v>0</v>
      </c>
      <c r="CA41" s="126" t="s">
        <v>47</v>
      </c>
      <c r="CB41" s="126">
        <v>0</v>
      </c>
      <c r="CC41" s="126">
        <v>0</v>
      </c>
      <c r="CD41" s="126">
        <v>0</v>
      </c>
      <c r="CE41" s="126">
        <v>0</v>
      </c>
      <c r="CF41" s="126">
        <v>0</v>
      </c>
      <c r="CG41" s="126">
        <v>0</v>
      </c>
      <c r="CH41" s="126">
        <v>0</v>
      </c>
      <c r="CI41" s="126" t="e">
        <f>#REF!</f>
        <v>#REF!</v>
      </c>
      <c r="CJ41" s="127"/>
      <c r="CK41" s="127"/>
      <c r="CL41" s="127"/>
    </row>
    <row r="42" spans="1:90" s="14" customFormat="1" ht="18" hidden="1" customHeight="1" x14ac:dyDescent="0.2">
      <c r="A42" s="294"/>
      <c r="B42" s="295"/>
      <c r="C42" s="295"/>
      <c r="D42" s="295"/>
      <c r="E42" s="295"/>
      <c r="F42" s="295"/>
      <c r="G42" s="296"/>
      <c r="H42" s="13"/>
      <c r="I42" s="110" t="s">
        <v>82</v>
      </c>
      <c r="J42" s="1" t="s">
        <v>39</v>
      </c>
      <c r="AG42" s="58" t="s">
        <v>37</v>
      </c>
      <c r="AK42" s="42"/>
      <c r="BY42" s="126" t="e">
        <f>#REF!</f>
        <v>#REF!</v>
      </c>
      <c r="BZ42" s="126">
        <v>0</v>
      </c>
      <c r="CA42" s="126" t="s">
        <v>47</v>
      </c>
      <c r="CB42" s="126">
        <v>0</v>
      </c>
      <c r="CC42" s="126">
        <v>0</v>
      </c>
      <c r="CD42" s="126">
        <v>0</v>
      </c>
      <c r="CE42" s="126">
        <v>0</v>
      </c>
      <c r="CF42" s="126">
        <v>0</v>
      </c>
      <c r="CG42" s="126">
        <v>0</v>
      </c>
      <c r="CH42" s="126">
        <v>0</v>
      </c>
      <c r="CI42" s="126" t="e">
        <f>#REF!</f>
        <v>#REF!</v>
      </c>
      <c r="CJ42" s="127"/>
      <c r="CK42" s="127"/>
      <c r="CL42" s="127"/>
    </row>
    <row r="43" spans="1:90" s="14" customFormat="1" ht="18" hidden="1" customHeight="1" x14ac:dyDescent="0.2">
      <c r="A43" s="294"/>
      <c r="B43" s="295"/>
      <c r="C43" s="295"/>
      <c r="D43" s="295"/>
      <c r="E43" s="295"/>
      <c r="F43" s="295"/>
      <c r="G43" s="296"/>
      <c r="H43" s="43"/>
      <c r="I43" s="59"/>
      <c r="J43" s="60"/>
      <c r="K43" s="61"/>
      <c r="L43" s="61"/>
      <c r="M43" s="61"/>
      <c r="N43" s="61"/>
      <c r="O43" s="61"/>
      <c r="P43" s="61"/>
      <c r="Q43" s="61"/>
      <c r="R43" s="61"/>
      <c r="S43" s="61"/>
      <c r="T43" s="61"/>
      <c r="U43" s="61"/>
      <c r="V43" s="61"/>
      <c r="W43" s="61"/>
      <c r="X43" s="61"/>
      <c r="Y43" s="61"/>
      <c r="Z43" s="61"/>
      <c r="AA43" s="61"/>
      <c r="AB43" s="61"/>
      <c r="AC43" s="61"/>
      <c r="AD43" s="61"/>
      <c r="AE43" s="61"/>
      <c r="AF43" s="61"/>
      <c r="AG43" s="62"/>
      <c r="AH43" s="61"/>
      <c r="AI43" s="61"/>
      <c r="AJ43" s="61"/>
      <c r="AK43" s="45"/>
      <c r="BY43" s="126" t="e">
        <f>#REF!</f>
        <v>#REF!</v>
      </c>
      <c r="BZ43" s="126">
        <v>0</v>
      </c>
      <c r="CA43" s="126" t="s">
        <v>47</v>
      </c>
      <c r="CB43" s="126">
        <v>0</v>
      </c>
      <c r="CC43" s="126">
        <v>0</v>
      </c>
      <c r="CD43" s="126">
        <v>0</v>
      </c>
      <c r="CE43" s="126">
        <v>0</v>
      </c>
      <c r="CF43" s="126">
        <v>0</v>
      </c>
      <c r="CG43" s="126">
        <v>0</v>
      </c>
      <c r="CH43" s="126">
        <v>0</v>
      </c>
      <c r="CI43" s="126" t="e">
        <f>#REF!</f>
        <v>#REF!</v>
      </c>
      <c r="CJ43" s="127"/>
      <c r="CK43" s="127"/>
      <c r="CL43" s="127"/>
    </row>
    <row r="44" spans="1:90" s="14" customFormat="1" ht="18" hidden="1" customHeight="1" x14ac:dyDescent="0.2">
      <c r="A44" s="294"/>
      <c r="B44" s="295"/>
      <c r="C44" s="295"/>
      <c r="D44" s="295"/>
      <c r="E44" s="295"/>
      <c r="F44" s="295"/>
      <c r="G44" s="296"/>
      <c r="H44" s="13"/>
      <c r="I44" s="110" t="s">
        <v>82</v>
      </c>
      <c r="J44" s="1" t="s">
        <v>36</v>
      </c>
      <c r="AG44" s="58" t="s">
        <v>37</v>
      </c>
      <c r="AK44" s="42"/>
      <c r="BY44" s="126" t="e">
        <f>#REF!</f>
        <v>#REF!</v>
      </c>
      <c r="BZ44" s="126">
        <v>0</v>
      </c>
      <c r="CA44" s="126" t="s">
        <v>47</v>
      </c>
      <c r="CB44" s="126">
        <v>0</v>
      </c>
      <c r="CC44" s="126">
        <v>0</v>
      </c>
      <c r="CD44" s="126">
        <v>0</v>
      </c>
      <c r="CE44" s="126">
        <v>0</v>
      </c>
      <c r="CF44" s="126">
        <v>0</v>
      </c>
      <c r="CG44" s="126">
        <v>0</v>
      </c>
      <c r="CH44" s="126">
        <v>0</v>
      </c>
      <c r="CI44" s="126" t="e">
        <f>#REF!</f>
        <v>#REF!</v>
      </c>
      <c r="CJ44" s="127"/>
      <c r="CK44" s="127"/>
      <c r="CL44" s="127"/>
    </row>
    <row r="45" spans="1:90" s="14" customFormat="1" ht="18" hidden="1" customHeight="1" x14ac:dyDescent="0.2">
      <c r="A45" s="294"/>
      <c r="B45" s="295"/>
      <c r="C45" s="295"/>
      <c r="D45" s="295"/>
      <c r="E45" s="295"/>
      <c r="F45" s="295"/>
      <c r="G45" s="296"/>
      <c r="H45" s="43"/>
      <c r="I45" s="59"/>
      <c r="J45" s="60"/>
      <c r="K45" s="61"/>
      <c r="L45" s="61"/>
      <c r="M45" s="61"/>
      <c r="N45" s="61"/>
      <c r="O45" s="61"/>
      <c r="P45" s="61"/>
      <c r="Q45" s="61"/>
      <c r="R45" s="61"/>
      <c r="S45" s="61"/>
      <c r="T45" s="61"/>
      <c r="U45" s="61"/>
      <c r="V45" s="61"/>
      <c r="W45" s="61"/>
      <c r="X45" s="61"/>
      <c r="Y45" s="61"/>
      <c r="Z45" s="61"/>
      <c r="AA45" s="61"/>
      <c r="AB45" s="61"/>
      <c r="AC45" s="61"/>
      <c r="AD45" s="61"/>
      <c r="AE45" s="61"/>
      <c r="AF45" s="61"/>
      <c r="AG45" s="62"/>
      <c r="AH45" s="61"/>
      <c r="AI45" s="61"/>
      <c r="AJ45" s="61"/>
      <c r="AK45" s="45"/>
      <c r="BY45" s="126" t="e">
        <f>#REF!</f>
        <v>#REF!</v>
      </c>
      <c r="BZ45" s="126">
        <v>0</v>
      </c>
      <c r="CA45" s="126" t="s">
        <v>47</v>
      </c>
      <c r="CB45" s="126">
        <v>0</v>
      </c>
      <c r="CC45" s="126">
        <v>0</v>
      </c>
      <c r="CD45" s="126">
        <v>0</v>
      </c>
      <c r="CE45" s="126">
        <v>0</v>
      </c>
      <c r="CF45" s="126">
        <v>0</v>
      </c>
      <c r="CG45" s="126">
        <v>0</v>
      </c>
      <c r="CH45" s="126">
        <v>0</v>
      </c>
      <c r="CI45" s="126" t="e">
        <f>#REF!</f>
        <v>#REF!</v>
      </c>
      <c r="CJ45" s="127"/>
      <c r="CK45" s="127"/>
      <c r="CL45" s="127"/>
    </row>
    <row r="46" spans="1:90" s="14" customFormat="1" ht="18" hidden="1" customHeight="1" x14ac:dyDescent="0.2">
      <c r="A46" s="294"/>
      <c r="B46" s="295"/>
      <c r="C46" s="295"/>
      <c r="D46" s="295"/>
      <c r="E46" s="295"/>
      <c r="F46" s="295"/>
      <c r="G46" s="296"/>
      <c r="H46" s="13"/>
      <c r="I46" s="110" t="s">
        <v>82</v>
      </c>
      <c r="J46" s="1" t="s">
        <v>38</v>
      </c>
      <c r="AG46" s="58"/>
      <c r="AK46" s="42"/>
      <c r="BY46" s="126" t="e">
        <f>#REF!</f>
        <v>#REF!</v>
      </c>
      <c r="BZ46" s="126">
        <v>0</v>
      </c>
      <c r="CA46" s="126" t="s">
        <v>47</v>
      </c>
      <c r="CB46" s="126">
        <v>0</v>
      </c>
      <c r="CC46" s="126">
        <v>0</v>
      </c>
      <c r="CD46" s="126">
        <v>0</v>
      </c>
      <c r="CE46" s="126">
        <v>0</v>
      </c>
      <c r="CF46" s="126">
        <v>0</v>
      </c>
      <c r="CG46" s="126">
        <v>0</v>
      </c>
      <c r="CH46" s="126">
        <v>0</v>
      </c>
      <c r="CI46" s="126" t="e">
        <f>#REF!</f>
        <v>#REF!</v>
      </c>
      <c r="CJ46" s="127"/>
      <c r="CK46" s="127"/>
      <c r="CL46" s="127"/>
    </row>
    <row r="47" spans="1:90" s="14" customFormat="1" ht="18" hidden="1" customHeight="1" x14ac:dyDescent="0.2">
      <c r="A47" s="294"/>
      <c r="B47" s="295"/>
      <c r="C47" s="295"/>
      <c r="D47" s="295"/>
      <c r="E47" s="295"/>
      <c r="F47" s="295"/>
      <c r="G47" s="296"/>
      <c r="H47" s="13"/>
      <c r="I47" s="34"/>
      <c r="J47" s="1"/>
      <c r="K47" s="184" t="s">
        <v>184</v>
      </c>
      <c r="AG47" s="58"/>
      <c r="AK47" s="42"/>
      <c r="BY47" s="126" t="e">
        <f>#REF!</f>
        <v>#REF!</v>
      </c>
      <c r="BZ47" s="126">
        <v>0</v>
      </c>
      <c r="CA47" s="126" t="s">
        <v>47</v>
      </c>
      <c r="CB47" s="126">
        <v>0</v>
      </c>
      <c r="CC47" s="126">
        <v>0</v>
      </c>
      <c r="CD47" s="126">
        <v>0</v>
      </c>
      <c r="CE47" s="126">
        <v>0</v>
      </c>
      <c r="CF47" s="126">
        <v>0</v>
      </c>
      <c r="CG47" s="126">
        <v>0</v>
      </c>
      <c r="CH47" s="126">
        <v>0</v>
      </c>
      <c r="CI47" s="126" t="e">
        <f>#REF!</f>
        <v>#REF!</v>
      </c>
      <c r="CJ47" s="127"/>
      <c r="CK47" s="127"/>
      <c r="CL47" s="127"/>
    </row>
    <row r="48" spans="1:90" s="14" customFormat="1" ht="18" hidden="1" customHeight="1" x14ac:dyDescent="0.2">
      <c r="A48" s="294"/>
      <c r="B48" s="295"/>
      <c r="C48" s="295"/>
      <c r="D48" s="295"/>
      <c r="E48" s="295"/>
      <c r="F48" s="295"/>
      <c r="G48" s="296"/>
      <c r="H48" s="13"/>
      <c r="I48" s="110" t="s">
        <v>82</v>
      </c>
      <c r="J48" s="1" t="s">
        <v>164</v>
      </c>
      <c r="AG48" s="58"/>
      <c r="AK48" s="42"/>
      <c r="BY48" s="126" t="e">
        <f>#REF!</f>
        <v>#REF!</v>
      </c>
      <c r="BZ48" s="126"/>
      <c r="CA48" s="126" t="s">
        <v>47</v>
      </c>
      <c r="CB48" s="126"/>
      <c r="CC48" s="126"/>
      <c r="CD48" s="126"/>
      <c r="CE48" s="126"/>
      <c r="CF48" s="126"/>
      <c r="CG48" s="126"/>
      <c r="CH48" s="126"/>
      <c r="CI48" s="126"/>
      <c r="CJ48" s="127"/>
      <c r="CK48" s="127"/>
      <c r="CL48" s="127"/>
    </row>
    <row r="49" spans="1:90" s="14" customFormat="1" ht="18" hidden="1" customHeight="1" x14ac:dyDescent="0.2">
      <c r="A49" s="294"/>
      <c r="B49" s="295"/>
      <c r="C49" s="295"/>
      <c r="D49" s="295"/>
      <c r="E49" s="295"/>
      <c r="F49" s="295"/>
      <c r="G49" s="296"/>
      <c r="H49" s="13"/>
      <c r="I49" s="34"/>
      <c r="J49" s="1"/>
      <c r="K49" s="184" t="s">
        <v>45</v>
      </c>
      <c r="AG49" s="58"/>
      <c r="AK49" s="42"/>
      <c r="BY49" s="126" t="e">
        <f>#REF!</f>
        <v>#REF!</v>
      </c>
      <c r="BZ49" s="126"/>
      <c r="CA49" s="126" t="s">
        <v>47</v>
      </c>
      <c r="CB49" s="126"/>
      <c r="CC49" s="126"/>
      <c r="CD49" s="126"/>
      <c r="CE49" s="126"/>
      <c r="CF49" s="126"/>
      <c r="CG49" s="126"/>
      <c r="CH49" s="126"/>
      <c r="CI49" s="126"/>
      <c r="CJ49" s="127"/>
      <c r="CK49" s="127"/>
      <c r="CL49" s="127"/>
    </row>
    <row r="50" spans="1:90" s="14" customFormat="1" ht="18" hidden="1" customHeight="1" x14ac:dyDescent="0.2">
      <c r="A50" s="294"/>
      <c r="B50" s="295"/>
      <c r="C50" s="295"/>
      <c r="D50" s="295"/>
      <c r="E50" s="295"/>
      <c r="F50" s="295"/>
      <c r="G50" s="296"/>
      <c r="H50" s="13"/>
      <c r="I50" s="110" t="s">
        <v>82</v>
      </c>
      <c r="J50" s="1"/>
      <c r="AG50" s="58"/>
      <c r="AK50" s="42"/>
      <c r="BY50" s="126" t="e">
        <f>#REF!</f>
        <v>#REF!</v>
      </c>
      <c r="BZ50" s="126"/>
      <c r="CA50" s="126" t="s">
        <v>47</v>
      </c>
      <c r="CB50" s="126"/>
      <c r="CC50" s="126"/>
      <c r="CD50" s="126"/>
      <c r="CE50" s="126"/>
      <c r="CF50" s="126"/>
      <c r="CG50" s="126"/>
      <c r="CH50" s="126"/>
      <c r="CI50" s="126"/>
      <c r="CJ50" s="127"/>
      <c r="CK50" s="127"/>
      <c r="CL50" s="127"/>
    </row>
    <row r="51" spans="1:90" s="14" customFormat="1" ht="18" hidden="1" customHeight="1" x14ac:dyDescent="0.2">
      <c r="A51" s="294"/>
      <c r="B51" s="295"/>
      <c r="C51" s="295"/>
      <c r="D51" s="295"/>
      <c r="E51" s="295"/>
      <c r="F51" s="295"/>
      <c r="G51" s="296"/>
      <c r="H51" s="13"/>
      <c r="I51" s="34"/>
      <c r="J51" s="1"/>
      <c r="K51" s="169"/>
      <c r="AG51" s="58"/>
      <c r="AK51" s="42"/>
      <c r="BY51" s="126" t="e">
        <f>#REF!</f>
        <v>#REF!</v>
      </c>
      <c r="BZ51" s="126"/>
      <c r="CA51" s="126" t="s">
        <v>47</v>
      </c>
      <c r="CB51" s="126"/>
      <c r="CC51" s="126"/>
      <c r="CD51" s="126"/>
      <c r="CE51" s="126"/>
      <c r="CF51" s="126"/>
      <c r="CG51" s="126"/>
      <c r="CH51" s="126"/>
      <c r="CI51" s="126"/>
      <c r="CJ51" s="127"/>
      <c r="CK51" s="127"/>
      <c r="CL51" s="127"/>
    </row>
    <row r="52" spans="1:90" s="14" customFormat="1" ht="18" hidden="1" customHeight="1" x14ac:dyDescent="0.2">
      <c r="A52" s="294"/>
      <c r="B52" s="295"/>
      <c r="C52" s="295"/>
      <c r="D52" s="295"/>
      <c r="E52" s="295"/>
      <c r="F52" s="295"/>
      <c r="G52" s="296"/>
      <c r="H52" s="13"/>
      <c r="I52" s="110" t="s">
        <v>82</v>
      </c>
      <c r="J52" s="1"/>
      <c r="AG52" s="58"/>
      <c r="AK52" s="42"/>
      <c r="BY52" s="126" t="e">
        <f>#REF!</f>
        <v>#REF!</v>
      </c>
      <c r="BZ52" s="126"/>
      <c r="CA52" s="126" t="s">
        <v>47</v>
      </c>
      <c r="CB52" s="126"/>
      <c r="CC52" s="126"/>
      <c r="CD52" s="126"/>
      <c r="CE52" s="126"/>
      <c r="CF52" s="126"/>
      <c r="CG52" s="126"/>
      <c r="CH52" s="126"/>
      <c r="CI52" s="126"/>
      <c r="CJ52" s="127"/>
      <c r="CK52" s="127"/>
      <c r="CL52" s="127"/>
    </row>
    <row r="53" spans="1:90" s="14" customFormat="1" ht="18" hidden="1" customHeight="1" x14ac:dyDescent="0.2">
      <c r="A53" s="294"/>
      <c r="B53" s="295"/>
      <c r="C53" s="295"/>
      <c r="D53" s="295"/>
      <c r="E53" s="295"/>
      <c r="F53" s="295"/>
      <c r="G53" s="296"/>
      <c r="H53" s="13"/>
      <c r="I53" s="34"/>
      <c r="J53" s="1"/>
      <c r="K53" s="169"/>
      <c r="AG53" s="58"/>
      <c r="AK53" s="42"/>
      <c r="BY53" s="126" t="e">
        <f>#REF!</f>
        <v>#REF!</v>
      </c>
      <c r="BZ53" s="126"/>
      <c r="CA53" s="126" t="s">
        <v>47</v>
      </c>
      <c r="CB53" s="126"/>
      <c r="CC53" s="126"/>
      <c r="CD53" s="126"/>
      <c r="CE53" s="126"/>
      <c r="CF53" s="126"/>
      <c r="CG53" s="126"/>
      <c r="CH53" s="126"/>
      <c r="CI53" s="126"/>
      <c r="CJ53" s="127"/>
      <c r="CK53" s="127"/>
      <c r="CL53" s="127"/>
    </row>
    <row r="54" spans="1:90" s="14" customFormat="1" ht="18" hidden="1" customHeight="1" x14ac:dyDescent="0.2">
      <c r="A54" s="294"/>
      <c r="B54" s="295"/>
      <c r="C54" s="295"/>
      <c r="D54" s="295"/>
      <c r="E54" s="295"/>
      <c r="F54" s="295"/>
      <c r="G54" s="296"/>
      <c r="H54" s="13"/>
      <c r="I54" s="110" t="s">
        <v>82</v>
      </c>
      <c r="J54" s="1" t="s">
        <v>40</v>
      </c>
      <c r="AG54" s="58"/>
      <c r="AK54" s="42"/>
      <c r="BY54" s="126" t="e">
        <f>#REF!</f>
        <v>#REF!</v>
      </c>
      <c r="BZ54" s="126"/>
      <c r="CA54" s="126" t="s">
        <v>47</v>
      </c>
      <c r="CB54" s="126"/>
      <c r="CC54" s="126"/>
      <c r="CD54" s="126"/>
      <c r="CE54" s="126"/>
      <c r="CF54" s="126"/>
      <c r="CG54" s="126"/>
      <c r="CH54" s="126"/>
      <c r="CI54" s="126"/>
      <c r="CJ54" s="127"/>
      <c r="CK54" s="127"/>
      <c r="CL54" s="127"/>
    </row>
    <row r="55" spans="1:90" s="14" customFormat="1" ht="18" hidden="1" customHeight="1" x14ac:dyDescent="0.2">
      <c r="A55" s="294"/>
      <c r="B55" s="295"/>
      <c r="C55" s="295"/>
      <c r="D55" s="295"/>
      <c r="E55" s="295"/>
      <c r="F55" s="295"/>
      <c r="G55" s="296"/>
      <c r="H55" s="13"/>
      <c r="I55" s="34"/>
      <c r="J55" s="1"/>
      <c r="K55" s="184" t="s">
        <v>46</v>
      </c>
      <c r="AG55" s="58"/>
      <c r="AK55" s="42"/>
      <c r="BY55" s="126" t="e">
        <f>#REF!</f>
        <v>#REF!</v>
      </c>
      <c r="BZ55" s="126"/>
      <c r="CA55" s="126" t="s">
        <v>47</v>
      </c>
      <c r="CB55" s="126"/>
      <c r="CC55" s="126"/>
      <c r="CD55" s="126"/>
      <c r="CE55" s="126"/>
      <c r="CF55" s="126"/>
      <c r="CG55" s="126"/>
      <c r="CH55" s="126"/>
      <c r="CI55" s="126"/>
      <c r="CJ55" s="127"/>
      <c r="CK55" s="127"/>
      <c r="CL55" s="127"/>
    </row>
    <row r="56" spans="1:90" s="14" customFormat="1" ht="18" hidden="1" customHeight="1" x14ac:dyDescent="0.2">
      <c r="A56" s="294"/>
      <c r="B56" s="295"/>
      <c r="C56" s="295"/>
      <c r="D56" s="295"/>
      <c r="E56" s="295"/>
      <c r="F56" s="295"/>
      <c r="G56" s="296"/>
      <c r="H56" s="13"/>
      <c r="I56" s="110" t="s">
        <v>82</v>
      </c>
      <c r="J56" s="146" t="s">
        <v>165</v>
      </c>
      <c r="K56" s="148"/>
      <c r="L56" s="149"/>
      <c r="M56" s="149"/>
      <c r="AG56" s="58"/>
      <c r="AK56" s="42"/>
      <c r="BY56" s="126" t="e">
        <f>#REF!</f>
        <v>#REF!</v>
      </c>
      <c r="BZ56" s="126"/>
      <c r="CA56" s="126" t="s">
        <v>47</v>
      </c>
      <c r="CB56" s="126"/>
      <c r="CC56" s="126"/>
      <c r="CD56" s="126"/>
      <c r="CE56" s="126"/>
      <c r="CF56" s="126"/>
      <c r="CG56" s="126"/>
      <c r="CH56" s="126"/>
      <c r="CI56" s="126"/>
      <c r="CJ56" s="127"/>
      <c r="CK56" s="127"/>
      <c r="CL56" s="127"/>
    </row>
    <row r="57" spans="1:90" s="14" customFormat="1" ht="18" hidden="1" customHeight="1" x14ac:dyDescent="0.2">
      <c r="A57" s="294"/>
      <c r="B57" s="295"/>
      <c r="C57" s="295"/>
      <c r="D57" s="295"/>
      <c r="E57" s="295"/>
      <c r="F57" s="295"/>
      <c r="G57" s="296"/>
      <c r="H57" s="13"/>
      <c r="I57" s="147"/>
      <c r="J57" s="146"/>
      <c r="K57" s="184" t="s">
        <v>133</v>
      </c>
      <c r="L57" s="149"/>
      <c r="M57" s="149"/>
      <c r="AG57" s="58"/>
      <c r="AK57" s="42"/>
      <c r="BY57" s="126" t="e">
        <f>#REF!</f>
        <v>#REF!</v>
      </c>
      <c r="BZ57" s="126"/>
      <c r="CA57" s="126" t="s">
        <v>47</v>
      </c>
      <c r="CB57" s="126"/>
      <c r="CC57" s="126"/>
      <c r="CD57" s="126"/>
      <c r="CE57" s="126"/>
      <c r="CF57" s="126"/>
      <c r="CG57" s="126"/>
      <c r="CH57" s="126"/>
      <c r="CI57" s="126"/>
      <c r="CJ57" s="127"/>
      <c r="CK57" s="127"/>
      <c r="CL57" s="127"/>
    </row>
    <row r="58" spans="1:90" s="14" customFormat="1" ht="18" hidden="1" customHeight="1" x14ac:dyDescent="0.2">
      <c r="A58" s="294"/>
      <c r="B58" s="295"/>
      <c r="C58" s="295"/>
      <c r="D58" s="295"/>
      <c r="E58" s="295"/>
      <c r="F58" s="295"/>
      <c r="G58" s="296"/>
      <c r="H58" s="13"/>
      <c r="I58" s="110" t="s">
        <v>82</v>
      </c>
      <c r="J58" s="146" t="s">
        <v>166</v>
      </c>
      <c r="K58" s="148"/>
      <c r="L58" s="149"/>
      <c r="M58" s="149"/>
      <c r="AG58" s="58"/>
      <c r="AK58" s="42"/>
      <c r="BY58" s="126" t="e">
        <f>#REF!</f>
        <v>#REF!</v>
      </c>
      <c r="BZ58" s="126"/>
      <c r="CA58" s="126" t="s">
        <v>47</v>
      </c>
      <c r="CB58" s="126"/>
      <c r="CC58" s="126"/>
      <c r="CD58" s="126"/>
      <c r="CE58" s="126"/>
      <c r="CF58" s="126"/>
      <c r="CG58" s="126"/>
      <c r="CH58" s="126"/>
      <c r="CI58" s="126"/>
      <c r="CJ58" s="127"/>
      <c r="CK58" s="127"/>
      <c r="CL58" s="127"/>
    </row>
    <row r="59" spans="1:90" s="14" customFormat="1" ht="18" hidden="1" customHeight="1" x14ac:dyDescent="0.2">
      <c r="A59" s="294"/>
      <c r="B59" s="295"/>
      <c r="C59" s="295"/>
      <c r="D59" s="295"/>
      <c r="E59" s="295"/>
      <c r="F59" s="295"/>
      <c r="G59" s="296"/>
      <c r="H59" s="13"/>
      <c r="I59" s="147"/>
      <c r="J59" s="146"/>
      <c r="K59" s="184" t="s">
        <v>134</v>
      </c>
      <c r="L59" s="149"/>
      <c r="M59" s="149"/>
      <c r="AG59" s="58"/>
      <c r="AK59" s="42"/>
      <c r="BY59" s="126" t="e">
        <f>#REF!</f>
        <v>#REF!</v>
      </c>
      <c r="BZ59" s="126"/>
      <c r="CA59" s="126" t="s">
        <v>47</v>
      </c>
      <c r="CB59" s="126"/>
      <c r="CC59" s="126"/>
      <c r="CD59" s="126"/>
      <c r="CE59" s="126"/>
      <c r="CF59" s="126"/>
      <c r="CG59" s="126"/>
      <c r="CH59" s="126"/>
      <c r="CI59" s="126"/>
      <c r="CJ59" s="127"/>
      <c r="CK59" s="127"/>
      <c r="CL59" s="127"/>
    </row>
    <row r="60" spans="1:90" s="14" customFormat="1" ht="18" hidden="1" customHeight="1" x14ac:dyDescent="0.2">
      <c r="A60" s="294"/>
      <c r="B60" s="295"/>
      <c r="C60" s="295"/>
      <c r="D60" s="295"/>
      <c r="E60" s="295"/>
      <c r="F60" s="295"/>
      <c r="G60" s="296"/>
      <c r="H60" s="13"/>
      <c r="I60" s="110" t="s">
        <v>82</v>
      </c>
      <c r="J60" s="35" t="s">
        <v>132</v>
      </c>
      <c r="K60" s="19"/>
      <c r="L60" s="19"/>
      <c r="M60" s="19"/>
      <c r="AG60" s="58"/>
      <c r="AK60" s="42"/>
      <c r="BY60" s="126" t="e">
        <f>#REF!</f>
        <v>#REF!</v>
      </c>
      <c r="BZ60" s="126"/>
      <c r="CA60" s="126" t="s">
        <v>47</v>
      </c>
      <c r="CB60" s="126"/>
      <c r="CC60" s="126"/>
      <c r="CD60" s="126"/>
      <c r="CE60" s="126"/>
      <c r="CF60" s="126"/>
      <c r="CG60" s="126"/>
      <c r="CH60" s="126"/>
      <c r="CI60" s="126"/>
      <c r="CJ60" s="127"/>
      <c r="CK60" s="127"/>
      <c r="CL60" s="127"/>
    </row>
    <row r="61" spans="1:90" s="14" customFormat="1" ht="18" hidden="1" customHeight="1" x14ac:dyDescent="0.2">
      <c r="A61" s="294"/>
      <c r="B61" s="295"/>
      <c r="C61" s="295"/>
      <c r="D61" s="295"/>
      <c r="E61" s="295"/>
      <c r="F61" s="295"/>
      <c r="G61" s="296"/>
      <c r="H61" s="13"/>
      <c r="I61" s="147"/>
      <c r="J61" s="35"/>
      <c r="K61" s="184" t="s">
        <v>135</v>
      </c>
      <c r="L61" s="19"/>
      <c r="M61" s="19"/>
      <c r="AG61" s="58"/>
      <c r="AK61" s="42"/>
      <c r="BY61" s="126" t="e">
        <f>#REF!</f>
        <v>#REF!</v>
      </c>
      <c r="BZ61" s="126"/>
      <c r="CA61" s="126" t="s">
        <v>47</v>
      </c>
      <c r="CB61" s="126"/>
      <c r="CC61" s="126"/>
      <c r="CD61" s="126"/>
      <c r="CE61" s="126"/>
      <c r="CF61" s="126"/>
      <c r="CG61" s="126"/>
      <c r="CH61" s="126"/>
      <c r="CI61" s="126"/>
      <c r="CJ61" s="127"/>
      <c r="CK61" s="127"/>
      <c r="CL61" s="127"/>
    </row>
    <row r="62" spans="1:90" s="14" customFormat="1" ht="18" hidden="1" customHeight="1" x14ac:dyDescent="0.2">
      <c r="A62" s="294"/>
      <c r="B62" s="295"/>
      <c r="C62" s="295"/>
      <c r="D62" s="295"/>
      <c r="E62" s="295"/>
      <c r="F62" s="295"/>
      <c r="G62" s="296"/>
      <c r="H62" s="13"/>
      <c r="I62" s="110" t="s">
        <v>82</v>
      </c>
      <c r="J62" s="1" t="s">
        <v>86</v>
      </c>
      <c r="AG62" s="58"/>
      <c r="AK62" s="42"/>
      <c r="BY62" s="126" t="e">
        <f>#REF!</f>
        <v>#REF!</v>
      </c>
      <c r="BZ62" s="126"/>
      <c r="CA62" s="126" t="s">
        <v>47</v>
      </c>
      <c r="CB62" s="126"/>
      <c r="CC62" s="126"/>
      <c r="CD62" s="126"/>
      <c r="CE62" s="126"/>
      <c r="CF62" s="126"/>
      <c r="CG62" s="126"/>
      <c r="CH62" s="126"/>
      <c r="CI62" s="126"/>
      <c r="CJ62" s="127"/>
      <c r="CK62" s="127"/>
      <c r="CL62" s="127"/>
    </row>
    <row r="63" spans="1:90" s="14" customFormat="1" ht="18" hidden="1" customHeight="1" x14ac:dyDescent="0.2">
      <c r="A63" s="294"/>
      <c r="B63" s="295"/>
      <c r="C63" s="295"/>
      <c r="D63" s="295"/>
      <c r="E63" s="295"/>
      <c r="F63" s="295"/>
      <c r="G63" s="296"/>
      <c r="H63" s="13"/>
      <c r="I63" s="34"/>
      <c r="J63" s="1"/>
      <c r="K63" s="184" t="s">
        <v>85</v>
      </c>
      <c r="AG63" s="58"/>
      <c r="AK63" s="42"/>
      <c r="BY63" s="126" t="e">
        <f>#REF!</f>
        <v>#REF!</v>
      </c>
      <c r="BZ63" s="126"/>
      <c r="CA63" s="126" t="s">
        <v>47</v>
      </c>
      <c r="CB63" s="126"/>
      <c r="CC63" s="126"/>
      <c r="CD63" s="126"/>
      <c r="CE63" s="126"/>
      <c r="CF63" s="126"/>
      <c r="CG63" s="126"/>
      <c r="CH63" s="126"/>
      <c r="CI63" s="126"/>
      <c r="CJ63" s="127"/>
      <c r="CK63" s="127"/>
      <c r="CL63" s="127"/>
    </row>
    <row r="64" spans="1:90" s="14" customFormat="1" ht="18" hidden="1" customHeight="1" x14ac:dyDescent="0.2">
      <c r="A64" s="294"/>
      <c r="B64" s="295"/>
      <c r="C64" s="295"/>
      <c r="D64" s="295"/>
      <c r="E64" s="295"/>
      <c r="F64" s="295"/>
      <c r="G64" s="296"/>
      <c r="H64" s="13"/>
      <c r="I64" s="110" t="s">
        <v>82</v>
      </c>
      <c r="J64" s="1" t="s">
        <v>87</v>
      </c>
      <c r="AG64" s="58" t="s">
        <v>37</v>
      </c>
      <c r="AK64" s="42"/>
      <c r="BY64" s="126" t="e">
        <f>#REF!</f>
        <v>#REF!</v>
      </c>
      <c r="BZ64" s="126"/>
      <c r="CA64" s="126" t="s">
        <v>47</v>
      </c>
      <c r="CB64" s="126"/>
      <c r="CC64" s="126"/>
      <c r="CD64" s="126"/>
      <c r="CE64" s="126"/>
      <c r="CF64" s="126"/>
      <c r="CG64" s="126"/>
      <c r="CH64" s="126"/>
      <c r="CI64" s="126"/>
      <c r="CJ64" s="127"/>
      <c r="CK64" s="127"/>
      <c r="CL64" s="127"/>
    </row>
    <row r="65" spans="1:90" s="14" customFormat="1" ht="18" hidden="1" customHeight="1" x14ac:dyDescent="0.2">
      <c r="A65" s="294"/>
      <c r="B65" s="295"/>
      <c r="C65" s="295"/>
      <c r="D65" s="295"/>
      <c r="E65" s="295"/>
      <c r="F65" s="295"/>
      <c r="G65" s="296"/>
      <c r="H65" s="43"/>
      <c r="I65" s="59"/>
      <c r="J65" s="60"/>
      <c r="K65" s="61"/>
      <c r="L65" s="61"/>
      <c r="M65" s="61"/>
      <c r="N65" s="61"/>
      <c r="O65" s="61"/>
      <c r="P65" s="61"/>
      <c r="Q65" s="61"/>
      <c r="R65" s="61"/>
      <c r="S65" s="61"/>
      <c r="T65" s="61"/>
      <c r="U65" s="61"/>
      <c r="V65" s="61"/>
      <c r="W65" s="61"/>
      <c r="X65" s="61"/>
      <c r="Y65" s="61"/>
      <c r="Z65" s="61"/>
      <c r="AA65" s="61"/>
      <c r="AB65" s="61"/>
      <c r="AC65" s="61"/>
      <c r="AD65" s="61"/>
      <c r="AE65" s="61"/>
      <c r="AF65" s="61"/>
      <c r="AG65" s="62"/>
      <c r="AH65" s="61"/>
      <c r="AI65" s="61"/>
      <c r="AJ65" s="61"/>
      <c r="AK65" s="45"/>
      <c r="BY65" s="126" t="e">
        <f>#REF!</f>
        <v>#REF!</v>
      </c>
      <c r="BZ65" s="126"/>
      <c r="CA65" s="126" t="s">
        <v>47</v>
      </c>
      <c r="CB65" s="126"/>
      <c r="CC65" s="126"/>
      <c r="CD65" s="126"/>
      <c r="CE65" s="126"/>
      <c r="CF65" s="126"/>
      <c r="CG65" s="126"/>
      <c r="CH65" s="126"/>
      <c r="CI65" s="126"/>
      <c r="CJ65" s="127"/>
      <c r="CK65" s="127"/>
      <c r="CL65" s="127"/>
    </row>
    <row r="66" spans="1:90" s="14" customFormat="1" ht="18" hidden="1" customHeight="1" x14ac:dyDescent="0.2">
      <c r="A66" s="294"/>
      <c r="B66" s="295"/>
      <c r="C66" s="295"/>
      <c r="D66" s="295"/>
      <c r="E66" s="295"/>
      <c r="F66" s="295"/>
      <c r="G66" s="296"/>
      <c r="H66" s="13"/>
      <c r="I66" s="110" t="s">
        <v>82</v>
      </c>
      <c r="J66" s="1" t="s">
        <v>92</v>
      </c>
      <c r="AG66" s="58"/>
      <c r="AK66" s="42"/>
      <c r="BY66" s="126" t="e">
        <f>#REF!</f>
        <v>#REF!</v>
      </c>
      <c r="BZ66" s="126"/>
      <c r="CA66" s="126" t="s">
        <v>47</v>
      </c>
      <c r="CB66" s="126"/>
      <c r="CC66" s="126"/>
      <c r="CD66" s="126"/>
      <c r="CE66" s="126"/>
      <c r="CF66" s="126"/>
      <c r="CG66" s="126"/>
      <c r="CH66" s="126"/>
      <c r="CI66" s="126"/>
      <c r="CJ66" s="127"/>
      <c r="CK66" s="127"/>
      <c r="CL66" s="127"/>
    </row>
    <row r="67" spans="1:90" s="14" customFormat="1" ht="18" hidden="1" customHeight="1" x14ac:dyDescent="0.2">
      <c r="A67" s="294"/>
      <c r="B67" s="295"/>
      <c r="C67" s="295"/>
      <c r="D67" s="295"/>
      <c r="E67" s="295"/>
      <c r="F67" s="295"/>
      <c r="G67" s="296"/>
      <c r="H67" s="13"/>
      <c r="I67" s="34"/>
      <c r="J67" s="1"/>
      <c r="K67" s="184" t="s">
        <v>93</v>
      </c>
      <c r="AG67" s="58"/>
      <c r="AK67" s="42"/>
      <c r="BY67" s="126" t="e">
        <f>#REF!</f>
        <v>#REF!</v>
      </c>
      <c r="BZ67" s="126"/>
      <c r="CA67" s="126" t="s">
        <v>47</v>
      </c>
      <c r="CB67" s="126"/>
      <c r="CC67" s="126"/>
      <c r="CD67" s="126"/>
      <c r="CE67" s="126"/>
      <c r="CF67" s="126"/>
      <c r="CG67" s="126"/>
      <c r="CH67" s="126"/>
      <c r="CI67" s="126"/>
      <c r="CJ67" s="127"/>
      <c r="CK67" s="127"/>
      <c r="CL67" s="127"/>
    </row>
    <row r="68" spans="1:90" s="14" customFormat="1" ht="18" hidden="1" customHeight="1" x14ac:dyDescent="0.2">
      <c r="A68" s="294"/>
      <c r="B68" s="295"/>
      <c r="C68" s="295"/>
      <c r="D68" s="295"/>
      <c r="E68" s="295"/>
      <c r="F68" s="295"/>
      <c r="G68" s="296"/>
      <c r="H68" s="13"/>
      <c r="I68" s="110" t="s">
        <v>82</v>
      </c>
      <c r="J68" s="1" t="s">
        <v>99</v>
      </c>
      <c r="AG68" s="58"/>
      <c r="AK68" s="42"/>
      <c r="BY68" s="126" t="e">
        <f>#REF!</f>
        <v>#REF!</v>
      </c>
      <c r="BZ68" s="126"/>
      <c r="CA68" s="126" t="s">
        <v>47</v>
      </c>
      <c r="CB68" s="126"/>
      <c r="CC68" s="126"/>
      <c r="CD68" s="126"/>
      <c r="CE68" s="126"/>
      <c r="CF68" s="126"/>
      <c r="CG68" s="126"/>
      <c r="CH68" s="126"/>
      <c r="CI68" s="126"/>
      <c r="CJ68" s="127"/>
      <c r="CK68" s="127"/>
      <c r="CL68" s="127"/>
    </row>
    <row r="69" spans="1:90" s="14" customFormat="1" ht="18" hidden="1" customHeight="1" x14ac:dyDescent="0.2">
      <c r="A69" s="294"/>
      <c r="B69" s="295"/>
      <c r="C69" s="295"/>
      <c r="D69" s="295"/>
      <c r="E69" s="295"/>
      <c r="F69" s="295"/>
      <c r="G69" s="296"/>
      <c r="H69" s="13"/>
      <c r="I69" s="34"/>
      <c r="J69" s="1"/>
      <c r="K69" s="184" t="s">
        <v>98</v>
      </c>
      <c r="AG69" s="58"/>
      <c r="AK69" s="42"/>
      <c r="BY69" s="126" t="e">
        <f>#REF!</f>
        <v>#REF!</v>
      </c>
      <c r="BZ69" s="126"/>
      <c r="CA69" s="126" t="s">
        <v>47</v>
      </c>
      <c r="CB69" s="126"/>
      <c r="CC69" s="126"/>
      <c r="CD69" s="126"/>
      <c r="CE69" s="126"/>
      <c r="CF69" s="126"/>
      <c r="CG69" s="126"/>
      <c r="CH69" s="126"/>
      <c r="CI69" s="126"/>
      <c r="CJ69" s="127"/>
      <c r="CK69" s="127"/>
      <c r="CL69" s="127"/>
    </row>
    <row r="70" spans="1:90" s="14" customFormat="1" ht="18" hidden="1" customHeight="1" x14ac:dyDescent="0.2">
      <c r="A70" s="294"/>
      <c r="B70" s="295"/>
      <c r="C70" s="295"/>
      <c r="D70" s="295"/>
      <c r="E70" s="295"/>
      <c r="F70" s="295"/>
      <c r="G70" s="296"/>
      <c r="H70" s="13"/>
      <c r="I70" s="110" t="s">
        <v>82</v>
      </c>
      <c r="J70" s="1" t="s">
        <v>118</v>
      </c>
      <c r="AG70" s="58"/>
      <c r="AK70" s="42"/>
      <c r="BY70" s="126" t="e">
        <f>#REF!</f>
        <v>#REF!</v>
      </c>
      <c r="BZ70" s="126"/>
      <c r="CA70" s="126" t="s">
        <v>47</v>
      </c>
      <c r="CB70" s="126"/>
      <c r="CC70" s="126"/>
      <c r="CD70" s="126"/>
      <c r="CE70" s="126"/>
      <c r="CF70" s="126"/>
      <c r="CG70" s="126"/>
      <c r="CH70" s="126"/>
      <c r="CI70" s="126"/>
      <c r="CJ70" s="127"/>
      <c r="CK70" s="127"/>
      <c r="CL70" s="127"/>
    </row>
    <row r="71" spans="1:90" s="14" customFormat="1" ht="18" hidden="1" customHeight="1" x14ac:dyDescent="0.2">
      <c r="A71" s="294"/>
      <c r="B71" s="295"/>
      <c r="C71" s="295"/>
      <c r="D71" s="295"/>
      <c r="E71" s="295"/>
      <c r="F71" s="295"/>
      <c r="G71" s="296"/>
      <c r="H71" s="13"/>
      <c r="I71" s="34"/>
      <c r="J71" s="1"/>
      <c r="K71" s="184" t="s">
        <v>97</v>
      </c>
      <c r="AG71" s="58"/>
      <c r="AK71" s="42"/>
      <c r="BY71" s="126" t="e">
        <f>#REF!</f>
        <v>#REF!</v>
      </c>
      <c r="BZ71" s="126"/>
      <c r="CA71" s="126" t="s">
        <v>47</v>
      </c>
      <c r="CB71" s="126"/>
      <c r="CC71" s="126"/>
      <c r="CD71" s="126"/>
      <c r="CE71" s="126"/>
      <c r="CF71" s="126"/>
      <c r="CG71" s="126"/>
      <c r="CH71" s="126"/>
      <c r="CI71" s="126"/>
      <c r="CJ71" s="127"/>
      <c r="CK71" s="127"/>
      <c r="CL71" s="127"/>
    </row>
    <row r="72" spans="1:90" s="14" customFormat="1" ht="18" hidden="1" customHeight="1" x14ac:dyDescent="0.2">
      <c r="A72" s="294"/>
      <c r="B72" s="295"/>
      <c r="C72" s="295"/>
      <c r="D72" s="295"/>
      <c r="E72" s="295"/>
      <c r="F72" s="295"/>
      <c r="G72" s="296"/>
      <c r="H72" s="13"/>
      <c r="I72" s="110" t="s">
        <v>82</v>
      </c>
      <c r="J72" s="1" t="s">
        <v>161</v>
      </c>
      <c r="M72" s="19"/>
      <c r="AG72" s="58"/>
      <c r="AK72" s="42"/>
      <c r="BY72" s="126" t="e">
        <f>#REF!</f>
        <v>#REF!</v>
      </c>
      <c r="BZ72" s="126"/>
      <c r="CA72" s="126" t="s">
        <v>47</v>
      </c>
      <c r="CB72" s="126"/>
      <c r="CC72" s="126"/>
      <c r="CD72" s="126"/>
      <c r="CE72" s="126"/>
      <c r="CF72" s="126"/>
      <c r="CG72" s="126"/>
      <c r="CH72" s="126"/>
      <c r="CI72" s="126"/>
      <c r="CJ72" s="127"/>
      <c r="CK72" s="127"/>
      <c r="CL72" s="127"/>
    </row>
    <row r="73" spans="1:90" s="14" customFormat="1" ht="18" hidden="1" customHeight="1" x14ac:dyDescent="0.2">
      <c r="A73" s="294"/>
      <c r="B73" s="295"/>
      <c r="C73" s="295"/>
      <c r="D73" s="295"/>
      <c r="E73" s="295"/>
      <c r="F73" s="295"/>
      <c r="G73" s="296"/>
      <c r="H73" s="13"/>
      <c r="I73" s="147"/>
      <c r="J73" s="1"/>
      <c r="K73" s="184" t="s">
        <v>157</v>
      </c>
      <c r="M73" s="19"/>
      <c r="AG73" s="58"/>
      <c r="AK73" s="42"/>
      <c r="BY73" s="126" t="e">
        <f>#REF!</f>
        <v>#REF!</v>
      </c>
      <c r="BZ73" s="126"/>
      <c r="CA73" s="126" t="s">
        <v>47</v>
      </c>
      <c r="CB73" s="126"/>
      <c r="CC73" s="126"/>
      <c r="CD73" s="126"/>
      <c r="CE73" s="126"/>
      <c r="CF73" s="126"/>
      <c r="CG73" s="126"/>
      <c r="CH73" s="126"/>
      <c r="CI73" s="126"/>
      <c r="CJ73" s="127"/>
      <c r="CK73" s="127"/>
      <c r="CL73" s="127"/>
    </row>
    <row r="74" spans="1:90" s="14" customFormat="1" ht="18" hidden="1" customHeight="1" x14ac:dyDescent="0.2">
      <c r="A74" s="294"/>
      <c r="B74" s="295"/>
      <c r="C74" s="295"/>
      <c r="D74" s="295"/>
      <c r="E74" s="295"/>
      <c r="F74" s="295"/>
      <c r="G74" s="296"/>
      <c r="H74" s="13"/>
      <c r="I74" s="110" t="s">
        <v>82</v>
      </c>
      <c r="J74" s="1" t="s">
        <v>155</v>
      </c>
      <c r="AG74" s="58"/>
      <c r="AK74" s="42"/>
      <c r="BY74" s="126" t="e">
        <f>#REF!</f>
        <v>#REF!</v>
      </c>
      <c r="BZ74" s="126"/>
      <c r="CA74" s="126" t="s">
        <v>47</v>
      </c>
      <c r="CB74" s="126"/>
      <c r="CC74" s="126"/>
      <c r="CD74" s="126"/>
      <c r="CE74" s="126"/>
      <c r="CF74" s="126"/>
      <c r="CG74" s="126"/>
      <c r="CH74" s="126"/>
      <c r="CI74" s="126"/>
      <c r="CJ74" s="127"/>
      <c r="CK74" s="127"/>
      <c r="CL74" s="127"/>
    </row>
    <row r="75" spans="1:90" s="14" customFormat="1" ht="18" hidden="1" customHeight="1" x14ac:dyDescent="0.2">
      <c r="A75" s="294"/>
      <c r="B75" s="295"/>
      <c r="C75" s="295"/>
      <c r="D75" s="295"/>
      <c r="E75" s="295"/>
      <c r="F75" s="295"/>
      <c r="G75" s="296"/>
      <c r="H75" s="13"/>
      <c r="I75" s="34"/>
      <c r="J75" s="1"/>
      <c r="K75" s="184" t="s">
        <v>156</v>
      </c>
      <c r="AG75" s="58"/>
      <c r="AK75" s="42"/>
      <c r="BY75" s="126" t="e">
        <f>#REF!</f>
        <v>#REF!</v>
      </c>
      <c r="BZ75" s="126"/>
      <c r="CA75" s="126" t="s">
        <v>47</v>
      </c>
      <c r="CB75" s="126"/>
      <c r="CC75" s="126"/>
      <c r="CD75" s="126"/>
      <c r="CE75" s="126"/>
      <c r="CF75" s="126"/>
      <c r="CG75" s="126"/>
      <c r="CH75" s="126"/>
      <c r="CI75" s="126"/>
      <c r="CJ75" s="127"/>
      <c r="CK75" s="127"/>
      <c r="CL75" s="127"/>
    </row>
    <row r="76" spans="1:90" s="14" customFormat="1" ht="18" customHeight="1" x14ac:dyDescent="0.2">
      <c r="A76" s="294"/>
      <c r="B76" s="295"/>
      <c r="C76" s="295"/>
      <c r="D76" s="295"/>
      <c r="E76" s="295"/>
      <c r="F76" s="295"/>
      <c r="G76" s="296"/>
      <c r="H76" s="13"/>
      <c r="I76" s="110" t="s">
        <v>82</v>
      </c>
      <c r="J76" s="1" t="s">
        <v>167</v>
      </c>
      <c r="AG76" s="58"/>
      <c r="AK76" s="42"/>
      <c r="BY76" s="126" t="e">
        <f>#REF!</f>
        <v>#REF!</v>
      </c>
      <c r="BZ76" s="126"/>
      <c r="CA76" s="126" t="s">
        <v>219</v>
      </c>
      <c r="CB76" s="126"/>
      <c r="CC76" s="126"/>
      <c r="CD76" s="126"/>
      <c r="CE76" s="126"/>
      <c r="CF76" s="126"/>
      <c r="CG76" s="126"/>
      <c r="CH76" s="126"/>
      <c r="CI76" s="126"/>
      <c r="CJ76" s="127"/>
      <c r="CK76" s="127"/>
      <c r="CL76" s="127"/>
    </row>
    <row r="77" spans="1:90" s="14" customFormat="1" ht="18" customHeight="1" x14ac:dyDescent="0.2">
      <c r="A77" s="294"/>
      <c r="B77" s="295"/>
      <c r="C77" s="295"/>
      <c r="D77" s="295"/>
      <c r="E77" s="295"/>
      <c r="F77" s="295"/>
      <c r="G77" s="296"/>
      <c r="H77" s="13"/>
      <c r="I77" s="34"/>
      <c r="J77" s="1"/>
      <c r="K77" s="184" t="s">
        <v>168</v>
      </c>
      <c r="AG77" s="58"/>
      <c r="AK77" s="42"/>
      <c r="BY77" s="126" t="e">
        <f>#REF!</f>
        <v>#REF!</v>
      </c>
      <c r="BZ77" s="126"/>
      <c r="CA77" s="126" t="s">
        <v>219</v>
      </c>
      <c r="CB77" s="126"/>
      <c r="CC77" s="126"/>
      <c r="CD77" s="126"/>
      <c r="CE77" s="126"/>
      <c r="CF77" s="126"/>
      <c r="CG77" s="126"/>
      <c r="CH77" s="126"/>
      <c r="CI77" s="126"/>
      <c r="CJ77" s="127"/>
      <c r="CK77" s="127"/>
      <c r="CL77" s="127"/>
    </row>
    <row r="78" spans="1:90" s="14" customFormat="1" ht="18" hidden="1" customHeight="1" x14ac:dyDescent="0.2">
      <c r="A78" s="294"/>
      <c r="B78" s="295"/>
      <c r="C78" s="295"/>
      <c r="D78" s="295"/>
      <c r="E78" s="295"/>
      <c r="F78" s="295"/>
      <c r="G78" s="296"/>
      <c r="H78" s="13"/>
      <c r="I78" s="110" t="s">
        <v>82</v>
      </c>
      <c r="J78" s="1" t="s">
        <v>198</v>
      </c>
      <c r="AG78" s="58"/>
      <c r="AK78" s="42"/>
      <c r="BY78" s="126" t="e">
        <f>#REF!</f>
        <v>#REF!</v>
      </c>
      <c r="BZ78" s="126"/>
      <c r="CA78" s="126" t="s">
        <v>47</v>
      </c>
      <c r="CB78" s="126"/>
      <c r="CC78" s="126"/>
      <c r="CD78" s="126"/>
      <c r="CE78" s="126"/>
      <c r="CF78" s="126"/>
      <c r="CG78" s="126"/>
      <c r="CH78" s="126"/>
      <c r="CI78" s="126"/>
      <c r="CJ78" s="127"/>
      <c r="CK78" s="127"/>
      <c r="CL78" s="127"/>
    </row>
    <row r="79" spans="1:90" s="14" customFormat="1" ht="18" hidden="1" customHeight="1" x14ac:dyDescent="0.2">
      <c r="A79" s="294"/>
      <c r="B79" s="295"/>
      <c r="C79" s="295"/>
      <c r="D79" s="295"/>
      <c r="E79" s="295"/>
      <c r="F79" s="295"/>
      <c r="G79" s="296"/>
      <c r="H79" s="13"/>
      <c r="I79" s="34"/>
      <c r="J79" s="1"/>
      <c r="K79" s="184" t="s">
        <v>199</v>
      </c>
      <c r="AG79" s="58"/>
      <c r="AK79" s="42"/>
      <c r="BY79" s="126" t="e">
        <f>#REF!</f>
        <v>#REF!</v>
      </c>
      <c r="BZ79" s="126"/>
      <c r="CA79" s="126" t="s">
        <v>47</v>
      </c>
      <c r="CB79" s="126"/>
      <c r="CC79" s="126"/>
      <c r="CD79" s="126"/>
      <c r="CE79" s="126"/>
      <c r="CF79" s="126"/>
      <c r="CG79" s="126"/>
      <c r="CH79" s="126"/>
      <c r="CI79" s="126"/>
      <c r="CJ79" s="127"/>
      <c r="CK79" s="127"/>
      <c r="CL79" s="127"/>
    </row>
    <row r="80" spans="1:90" s="14" customFormat="1" ht="18" hidden="1" customHeight="1" x14ac:dyDescent="0.2">
      <c r="A80" s="294"/>
      <c r="B80" s="295"/>
      <c r="C80" s="295"/>
      <c r="D80" s="295"/>
      <c r="E80" s="295"/>
      <c r="F80" s="295"/>
      <c r="G80" s="296"/>
      <c r="H80" s="13"/>
      <c r="I80" s="110" t="s">
        <v>82</v>
      </c>
      <c r="J80" s="1" t="s">
        <v>197</v>
      </c>
      <c r="AG80" s="58"/>
      <c r="AK80" s="42"/>
      <c r="BY80" s="126" t="e">
        <f>#REF!</f>
        <v>#REF!</v>
      </c>
      <c r="BZ80" s="126"/>
      <c r="CA80" s="126" t="s">
        <v>47</v>
      </c>
      <c r="CB80" s="126"/>
      <c r="CC80" s="126"/>
      <c r="CD80" s="126"/>
      <c r="CE80" s="126"/>
      <c r="CF80" s="126"/>
      <c r="CG80" s="126"/>
      <c r="CH80" s="126"/>
      <c r="CI80" s="126"/>
      <c r="CJ80" s="127"/>
      <c r="CK80" s="127"/>
      <c r="CL80" s="127"/>
    </row>
    <row r="81" spans="1:90" s="14" customFormat="1" ht="18" hidden="1" customHeight="1" x14ac:dyDescent="0.2">
      <c r="A81" s="294"/>
      <c r="B81" s="295"/>
      <c r="C81" s="295"/>
      <c r="D81" s="295"/>
      <c r="E81" s="295"/>
      <c r="F81" s="295"/>
      <c r="G81" s="296"/>
      <c r="H81" s="13"/>
      <c r="I81" s="34"/>
      <c r="J81" s="1"/>
      <c r="K81" s="184" t="s">
        <v>196</v>
      </c>
      <c r="AG81" s="58"/>
      <c r="AK81" s="42"/>
      <c r="BY81" s="126" t="e">
        <f>#REF!</f>
        <v>#REF!</v>
      </c>
      <c r="BZ81" s="126"/>
      <c r="CA81" s="126" t="s">
        <v>47</v>
      </c>
      <c r="CB81" s="126"/>
      <c r="CC81" s="126"/>
      <c r="CD81" s="126"/>
      <c r="CE81" s="126"/>
      <c r="CF81" s="126"/>
      <c r="CG81" s="126"/>
      <c r="CH81" s="126"/>
      <c r="CI81" s="126"/>
      <c r="CJ81" s="127"/>
      <c r="CK81" s="127"/>
      <c r="CL81" s="127"/>
    </row>
    <row r="82" spans="1:90" s="14" customFormat="1" ht="18" hidden="1" customHeight="1" x14ac:dyDescent="0.2">
      <c r="A82" s="294"/>
      <c r="B82" s="295"/>
      <c r="C82" s="295"/>
      <c r="D82" s="295"/>
      <c r="E82" s="295"/>
      <c r="F82" s="295"/>
      <c r="G82" s="296"/>
      <c r="H82" s="13"/>
      <c r="I82" s="110" t="s">
        <v>82</v>
      </c>
      <c r="J82" s="1" t="s">
        <v>207</v>
      </c>
      <c r="AG82" s="58" t="s">
        <v>37</v>
      </c>
      <c r="AK82" s="42"/>
      <c r="BY82" s="126" t="e">
        <f>#REF!</f>
        <v>#REF!</v>
      </c>
      <c r="BZ82" s="126"/>
      <c r="CA82" s="126" t="s">
        <v>47</v>
      </c>
      <c r="CB82" s="126"/>
      <c r="CC82" s="126"/>
      <c r="CD82" s="126"/>
      <c r="CE82" s="126"/>
      <c r="CF82" s="126"/>
      <c r="CG82" s="126"/>
      <c r="CH82" s="126"/>
      <c r="CI82" s="126"/>
      <c r="CJ82" s="127"/>
      <c r="CK82" s="127"/>
      <c r="CL82" s="127"/>
    </row>
    <row r="83" spans="1:90" s="14" customFormat="1" ht="18" hidden="1" customHeight="1" x14ac:dyDescent="0.2">
      <c r="A83" s="294"/>
      <c r="B83" s="295"/>
      <c r="C83" s="295"/>
      <c r="D83" s="295"/>
      <c r="E83" s="295"/>
      <c r="F83" s="295"/>
      <c r="G83" s="296"/>
      <c r="H83" s="43"/>
      <c r="I83" s="59"/>
      <c r="J83" s="60"/>
      <c r="K83" s="61"/>
      <c r="L83" s="61"/>
      <c r="M83" s="61"/>
      <c r="N83" s="61"/>
      <c r="O83" s="61"/>
      <c r="P83" s="61"/>
      <c r="Q83" s="61"/>
      <c r="R83" s="61"/>
      <c r="S83" s="61"/>
      <c r="T83" s="61"/>
      <c r="U83" s="61"/>
      <c r="V83" s="61"/>
      <c r="W83" s="61"/>
      <c r="X83" s="61"/>
      <c r="Y83" s="61"/>
      <c r="Z83" s="61"/>
      <c r="AA83" s="61"/>
      <c r="AB83" s="61"/>
      <c r="AC83" s="61"/>
      <c r="AD83" s="61"/>
      <c r="AE83" s="61"/>
      <c r="AF83" s="61"/>
      <c r="AG83" s="62"/>
      <c r="AH83" s="61"/>
      <c r="AI83" s="61"/>
      <c r="AJ83" s="61"/>
      <c r="AK83" s="45"/>
      <c r="BY83" s="126" t="e">
        <f>#REF!</f>
        <v>#REF!</v>
      </c>
      <c r="BZ83" s="126"/>
      <c r="CA83" s="126" t="s">
        <v>47</v>
      </c>
      <c r="CB83" s="126"/>
      <c r="CC83" s="126"/>
      <c r="CD83" s="126"/>
      <c r="CE83" s="126"/>
      <c r="CF83" s="126"/>
      <c r="CG83" s="126"/>
      <c r="CH83" s="126"/>
      <c r="CI83" s="126"/>
      <c r="CJ83" s="127"/>
      <c r="CK83" s="127"/>
      <c r="CL83" s="127"/>
    </row>
    <row r="84" spans="1:90" s="14" customFormat="1" ht="18" hidden="1" customHeight="1" x14ac:dyDescent="0.2">
      <c r="A84" s="294"/>
      <c r="B84" s="295"/>
      <c r="C84" s="295"/>
      <c r="D84" s="295"/>
      <c r="E84" s="295"/>
      <c r="F84" s="295"/>
      <c r="G84" s="296"/>
      <c r="H84" s="13"/>
      <c r="I84" s="110" t="s">
        <v>82</v>
      </c>
      <c r="J84" s="1" t="s">
        <v>208</v>
      </c>
      <c r="AG84" s="58" t="s">
        <v>37</v>
      </c>
      <c r="AK84" s="42"/>
      <c r="BY84" s="126" t="e">
        <f>#REF!</f>
        <v>#REF!</v>
      </c>
      <c r="BZ84" s="126"/>
      <c r="CA84" s="126" t="s">
        <v>47</v>
      </c>
      <c r="CB84" s="126"/>
      <c r="CC84" s="126"/>
      <c r="CD84" s="126"/>
      <c r="CE84" s="126"/>
      <c r="CF84" s="126"/>
      <c r="CG84" s="126"/>
      <c r="CH84" s="126"/>
      <c r="CI84" s="126"/>
      <c r="CJ84" s="127"/>
      <c r="CK84" s="127"/>
      <c r="CL84" s="127"/>
    </row>
    <row r="85" spans="1:90" s="14" customFormat="1" ht="18" hidden="1" customHeight="1" x14ac:dyDescent="0.2">
      <c r="A85" s="294"/>
      <c r="B85" s="295"/>
      <c r="C85" s="295"/>
      <c r="D85" s="295"/>
      <c r="E85" s="295"/>
      <c r="F85" s="295"/>
      <c r="G85" s="296"/>
      <c r="H85" s="43"/>
      <c r="I85" s="59"/>
      <c r="J85" s="60"/>
      <c r="K85" s="61"/>
      <c r="L85" s="61"/>
      <c r="M85" s="61"/>
      <c r="N85" s="61"/>
      <c r="O85" s="61"/>
      <c r="P85" s="61"/>
      <c r="Q85" s="61"/>
      <c r="R85" s="61"/>
      <c r="S85" s="61"/>
      <c r="T85" s="61"/>
      <c r="U85" s="61"/>
      <c r="V85" s="61"/>
      <c r="W85" s="61"/>
      <c r="X85" s="61"/>
      <c r="Y85" s="61"/>
      <c r="Z85" s="61"/>
      <c r="AA85" s="61"/>
      <c r="AB85" s="61"/>
      <c r="AC85" s="61"/>
      <c r="AD85" s="61"/>
      <c r="AE85" s="61"/>
      <c r="AF85" s="61"/>
      <c r="AG85" s="62"/>
      <c r="AH85" s="61"/>
      <c r="AI85" s="61"/>
      <c r="AJ85" s="61"/>
      <c r="AK85" s="45"/>
      <c r="BY85" s="126" t="e">
        <f>#REF!</f>
        <v>#REF!</v>
      </c>
      <c r="BZ85" s="126"/>
      <c r="CA85" s="126" t="s">
        <v>47</v>
      </c>
      <c r="CB85" s="126"/>
      <c r="CC85" s="126"/>
      <c r="CD85" s="126"/>
      <c r="CE85" s="126"/>
      <c r="CF85" s="126"/>
      <c r="CG85" s="126"/>
      <c r="CH85" s="126"/>
      <c r="CI85" s="126"/>
      <c r="CJ85" s="127"/>
      <c r="CK85" s="127"/>
      <c r="CL85" s="127"/>
    </row>
    <row r="86" spans="1:90" s="14" customFormat="1" ht="18" hidden="1" customHeight="1" x14ac:dyDescent="0.2">
      <c r="A86" s="294"/>
      <c r="B86" s="295"/>
      <c r="C86" s="295"/>
      <c r="D86" s="295"/>
      <c r="E86" s="295"/>
      <c r="F86" s="295"/>
      <c r="G86" s="296"/>
      <c r="H86" s="13"/>
      <c r="I86" s="110" t="s">
        <v>82</v>
      </c>
      <c r="J86" s="1" t="s">
        <v>81</v>
      </c>
      <c r="AG86" s="58" t="s">
        <v>37</v>
      </c>
      <c r="AK86" s="42"/>
      <c r="BY86" s="126" t="e">
        <f>#REF!</f>
        <v>#REF!</v>
      </c>
      <c r="BZ86" s="126"/>
      <c r="CA86" s="126" t="s">
        <v>47</v>
      </c>
      <c r="CB86" s="126"/>
      <c r="CC86" s="126"/>
      <c r="CD86" s="126"/>
      <c r="CE86" s="126"/>
      <c r="CF86" s="126"/>
      <c r="CG86" s="126"/>
      <c r="CH86" s="126"/>
      <c r="CI86" s="126"/>
      <c r="CJ86" s="127"/>
      <c r="CK86" s="127"/>
      <c r="CL86" s="127"/>
    </row>
    <row r="87" spans="1:90" s="14" customFormat="1" ht="18" hidden="1" customHeight="1" x14ac:dyDescent="0.2">
      <c r="A87" s="294"/>
      <c r="B87" s="295"/>
      <c r="C87" s="295"/>
      <c r="D87" s="295"/>
      <c r="E87" s="295"/>
      <c r="F87" s="295"/>
      <c r="G87" s="296"/>
      <c r="H87" s="43"/>
      <c r="I87" s="59"/>
      <c r="J87" s="60"/>
      <c r="K87" s="61"/>
      <c r="L87" s="61"/>
      <c r="M87" s="61"/>
      <c r="N87" s="61"/>
      <c r="O87" s="61"/>
      <c r="P87" s="61"/>
      <c r="Q87" s="61"/>
      <c r="R87" s="61"/>
      <c r="S87" s="61"/>
      <c r="T87" s="61"/>
      <c r="U87" s="61"/>
      <c r="V87" s="61"/>
      <c r="W87" s="61"/>
      <c r="X87" s="61"/>
      <c r="Y87" s="61"/>
      <c r="Z87" s="61"/>
      <c r="AA87" s="61"/>
      <c r="AB87" s="61"/>
      <c r="AC87" s="61"/>
      <c r="AD87" s="61"/>
      <c r="AE87" s="61"/>
      <c r="AF87" s="61"/>
      <c r="AG87" s="62"/>
      <c r="AH87" s="61"/>
      <c r="AI87" s="61"/>
      <c r="AJ87" s="61"/>
      <c r="AK87" s="45"/>
      <c r="BY87" s="126" t="e">
        <f>#REF!</f>
        <v>#REF!</v>
      </c>
      <c r="BZ87" s="126"/>
      <c r="CA87" s="126" t="s">
        <v>47</v>
      </c>
      <c r="CB87" s="126"/>
      <c r="CC87" s="126"/>
      <c r="CD87" s="126"/>
      <c r="CE87" s="126"/>
      <c r="CF87" s="126"/>
      <c r="CG87" s="126"/>
      <c r="CH87" s="126"/>
      <c r="CI87" s="126"/>
      <c r="CJ87" s="127"/>
      <c r="CK87" s="127"/>
      <c r="CL87" s="127"/>
    </row>
    <row r="88" spans="1:90" s="14" customFormat="1" ht="18" hidden="1" customHeight="1" x14ac:dyDescent="0.2">
      <c r="A88" s="294"/>
      <c r="B88" s="295"/>
      <c r="C88" s="295"/>
      <c r="D88" s="295"/>
      <c r="E88" s="295"/>
      <c r="F88" s="295"/>
      <c r="G88" s="296"/>
      <c r="H88" s="13"/>
      <c r="I88" s="110" t="s">
        <v>82</v>
      </c>
      <c r="J88" s="1" t="s">
        <v>191</v>
      </c>
      <c r="AG88" s="58" t="s">
        <v>37</v>
      </c>
      <c r="AK88" s="42"/>
      <c r="BY88" s="126" t="e">
        <f>#REF!</f>
        <v>#REF!</v>
      </c>
      <c r="BZ88" s="126"/>
      <c r="CA88" s="126" t="s">
        <v>47</v>
      </c>
      <c r="CB88" s="126"/>
      <c r="CC88" s="126"/>
      <c r="CD88" s="126"/>
      <c r="CE88" s="126"/>
      <c r="CF88" s="126"/>
      <c r="CG88" s="126"/>
      <c r="CH88" s="126"/>
      <c r="CI88" s="126"/>
      <c r="CJ88" s="127"/>
      <c r="CK88" s="127"/>
      <c r="CL88" s="127"/>
    </row>
    <row r="89" spans="1:90" s="14" customFormat="1" ht="18" hidden="1" customHeight="1" x14ac:dyDescent="0.2">
      <c r="A89" s="294"/>
      <c r="B89" s="295"/>
      <c r="C89" s="295"/>
      <c r="D89" s="295"/>
      <c r="E89" s="295"/>
      <c r="F89" s="295"/>
      <c r="G89" s="296"/>
      <c r="H89" s="43"/>
      <c r="I89" s="59"/>
      <c r="J89" s="60"/>
      <c r="K89" s="61"/>
      <c r="L89" s="61"/>
      <c r="M89" s="61"/>
      <c r="N89" s="61"/>
      <c r="O89" s="61"/>
      <c r="P89" s="61"/>
      <c r="Q89" s="61"/>
      <c r="R89" s="61"/>
      <c r="S89" s="61"/>
      <c r="T89" s="61"/>
      <c r="U89" s="61"/>
      <c r="V89" s="61"/>
      <c r="W89" s="61"/>
      <c r="X89" s="61"/>
      <c r="Y89" s="61"/>
      <c r="Z89" s="61"/>
      <c r="AA89" s="61"/>
      <c r="AB89" s="61"/>
      <c r="AC89" s="61"/>
      <c r="AD89" s="61"/>
      <c r="AE89" s="61"/>
      <c r="AF89" s="61"/>
      <c r="AG89" s="62"/>
      <c r="AH89" s="61"/>
      <c r="AI89" s="61"/>
      <c r="AJ89" s="61"/>
      <c r="AK89" s="45"/>
      <c r="BY89" s="126" t="e">
        <f>#REF!</f>
        <v>#REF!</v>
      </c>
      <c r="BZ89" s="126"/>
      <c r="CA89" s="126" t="s">
        <v>47</v>
      </c>
      <c r="CB89" s="126"/>
      <c r="CC89" s="126"/>
      <c r="CD89" s="126"/>
      <c r="CE89" s="126"/>
      <c r="CF89" s="126"/>
      <c r="CG89" s="126"/>
      <c r="CH89" s="126"/>
      <c r="CI89" s="126"/>
      <c r="CJ89" s="127"/>
      <c r="CK89" s="127"/>
      <c r="CL89" s="127"/>
    </row>
    <row r="90" spans="1:90" s="14" customFormat="1" ht="2.1" customHeight="1" thickBot="1" x14ac:dyDescent="0.25">
      <c r="A90" s="300"/>
      <c r="B90" s="301"/>
      <c r="C90" s="301"/>
      <c r="D90" s="301"/>
      <c r="E90" s="301"/>
      <c r="F90" s="301"/>
      <c r="G90" s="302"/>
      <c r="H90" s="32"/>
      <c r="I90" s="153"/>
      <c r="J90" s="63"/>
      <c r="K90" s="33"/>
      <c r="L90" s="33"/>
      <c r="M90" s="33"/>
      <c r="N90" s="33"/>
      <c r="O90" s="33"/>
      <c r="P90" s="33"/>
      <c r="Q90" s="33"/>
      <c r="R90" s="33"/>
      <c r="S90" s="33"/>
      <c r="T90" s="33"/>
      <c r="U90" s="33"/>
      <c r="V90" s="33"/>
      <c r="W90" s="33"/>
      <c r="X90" s="33"/>
      <c r="Y90" s="33"/>
      <c r="Z90" s="33"/>
      <c r="AA90" s="33"/>
      <c r="AB90" s="33"/>
      <c r="AC90" s="33"/>
      <c r="AD90" s="33"/>
      <c r="AE90" s="33"/>
      <c r="AF90" s="33"/>
      <c r="AG90" s="64"/>
      <c r="AH90" s="33"/>
      <c r="AI90" s="33"/>
      <c r="AJ90" s="33"/>
      <c r="AK90" s="65"/>
      <c r="BY90" s="126" t="e">
        <f>#REF!</f>
        <v>#REF!</v>
      </c>
      <c r="BZ90" s="126"/>
      <c r="CA90" s="126">
        <v>0</v>
      </c>
      <c r="CB90" s="126"/>
      <c r="CC90" s="126"/>
      <c r="CD90" s="126"/>
      <c r="CE90" s="126"/>
      <c r="CF90" s="126"/>
      <c r="CG90" s="126"/>
      <c r="CH90" s="126"/>
      <c r="CI90" s="126"/>
      <c r="CJ90" s="127"/>
      <c r="CK90" s="127"/>
      <c r="CL90" s="127"/>
    </row>
    <row r="91" spans="1:90" s="14" customFormat="1" ht="24.9" hidden="1" customHeight="1" thickBot="1" x14ac:dyDescent="0.25">
      <c r="A91" s="160" t="s">
        <v>124</v>
      </c>
      <c r="B91" s="158"/>
      <c r="C91" s="158"/>
      <c r="D91" s="158"/>
      <c r="E91" s="158"/>
      <c r="F91" s="158"/>
      <c r="G91" s="158"/>
      <c r="H91" s="13"/>
      <c r="I91" s="34"/>
      <c r="J91" s="1"/>
      <c r="AG91" s="58"/>
      <c r="BY91" s="126" t="e">
        <f>#REF!</f>
        <v>#REF!</v>
      </c>
      <c r="BZ91" s="126"/>
      <c r="CA91" s="126" t="s">
        <v>47</v>
      </c>
      <c r="CB91" s="126"/>
      <c r="CC91" s="126"/>
      <c r="CD91" s="126"/>
      <c r="CE91" s="126"/>
      <c r="CF91" s="126"/>
      <c r="CG91" s="126"/>
      <c r="CH91" s="126"/>
      <c r="CI91" s="126"/>
      <c r="CJ91" s="127"/>
      <c r="CK91" s="127"/>
      <c r="CL91" s="127"/>
    </row>
    <row r="92" spans="1:90" s="14" customFormat="1" ht="18" hidden="1" customHeight="1" x14ac:dyDescent="0.25">
      <c r="A92" s="291" t="s">
        <v>123</v>
      </c>
      <c r="B92" s="292"/>
      <c r="C92" s="292"/>
      <c r="D92" s="292"/>
      <c r="E92" s="292"/>
      <c r="F92" s="292"/>
      <c r="G92" s="293"/>
      <c r="H92" s="154"/>
      <c r="I92" s="159" t="s">
        <v>82</v>
      </c>
      <c r="J92" s="155" t="s">
        <v>122</v>
      </c>
      <c r="K92" s="156"/>
      <c r="L92" s="156"/>
      <c r="M92" s="156"/>
      <c r="N92" s="156"/>
      <c r="O92" s="156"/>
      <c r="P92" s="156"/>
      <c r="Q92" s="156"/>
      <c r="R92" s="156"/>
      <c r="S92" s="156"/>
      <c r="T92" s="156"/>
      <c r="U92" s="156"/>
      <c r="V92" s="156"/>
      <c r="W92" s="156"/>
      <c r="X92" s="156"/>
      <c r="Y92" s="156"/>
      <c r="Z92" s="156"/>
      <c r="AA92" s="156"/>
      <c r="AB92" s="156"/>
      <c r="AC92" s="156"/>
      <c r="AD92" s="156"/>
      <c r="AE92" s="156"/>
      <c r="AF92" s="156"/>
      <c r="AG92" s="157"/>
      <c r="AH92" s="156"/>
      <c r="AI92" s="156"/>
      <c r="AJ92" s="156"/>
      <c r="AK92" s="29"/>
      <c r="BY92" s="126" t="e">
        <f>#REF!</f>
        <v>#REF!</v>
      </c>
      <c r="BZ92" s="126"/>
      <c r="CA92" s="126" t="s">
        <v>47</v>
      </c>
      <c r="CB92" s="126"/>
      <c r="CC92" s="126"/>
      <c r="CD92" s="126"/>
      <c r="CE92" s="126"/>
      <c r="CF92" s="126"/>
      <c r="CG92" s="126"/>
      <c r="CH92" s="126"/>
      <c r="CI92" s="126"/>
      <c r="CJ92" s="127"/>
      <c r="CK92" s="127"/>
      <c r="CL92" s="127"/>
    </row>
    <row r="93" spans="1:90" s="14" customFormat="1" ht="50.1" hidden="1" customHeight="1" x14ac:dyDescent="0.25">
      <c r="A93" s="294"/>
      <c r="B93" s="295"/>
      <c r="C93" s="295"/>
      <c r="D93" s="295"/>
      <c r="E93" s="295"/>
      <c r="F93" s="295"/>
      <c r="G93" s="296"/>
      <c r="H93" s="13"/>
      <c r="I93" s="34"/>
      <c r="J93" s="1"/>
      <c r="K93" s="297" t="s">
        <v>125</v>
      </c>
      <c r="L93" s="298"/>
      <c r="M93" s="298"/>
      <c r="N93" s="298"/>
      <c r="O93" s="298"/>
      <c r="P93" s="298"/>
      <c r="Q93" s="298"/>
      <c r="R93" s="298"/>
      <c r="S93" s="298"/>
      <c r="T93" s="298"/>
      <c r="U93" s="298"/>
      <c r="V93" s="298"/>
      <c r="W93" s="298"/>
      <c r="X93" s="298"/>
      <c r="Y93" s="298"/>
      <c r="Z93" s="298"/>
      <c r="AA93" s="298"/>
      <c r="AB93" s="298"/>
      <c r="AC93" s="298"/>
      <c r="AD93" s="298"/>
      <c r="AE93" s="298"/>
      <c r="AF93" s="298"/>
      <c r="AG93" s="298"/>
      <c r="AH93" s="298"/>
      <c r="AI93" s="298"/>
      <c r="AJ93" s="299"/>
      <c r="AK93" s="42"/>
      <c r="BY93" s="126" t="e">
        <f>#REF!</f>
        <v>#REF!</v>
      </c>
      <c r="BZ93" s="126"/>
      <c r="CA93" s="126" t="s">
        <v>47</v>
      </c>
      <c r="CB93" s="126"/>
      <c r="CC93" s="126"/>
      <c r="CD93" s="126"/>
      <c r="CE93" s="126"/>
      <c r="CF93" s="126"/>
      <c r="CG93" s="126"/>
      <c r="CH93" s="126"/>
      <c r="CI93" s="126"/>
      <c r="CJ93" s="127"/>
      <c r="CK93" s="127"/>
      <c r="CL93" s="127"/>
    </row>
    <row r="94" spans="1:90" s="14" customFormat="1" ht="3.9" hidden="1" customHeight="1" thickBot="1" x14ac:dyDescent="0.25">
      <c r="A94" s="150"/>
      <c r="B94" s="151"/>
      <c r="C94" s="151"/>
      <c r="D94" s="151"/>
      <c r="E94" s="151"/>
      <c r="F94" s="151"/>
      <c r="G94" s="152"/>
      <c r="H94" s="32"/>
      <c r="I94" s="33"/>
      <c r="J94" s="63"/>
      <c r="K94" s="33"/>
      <c r="L94" s="33"/>
      <c r="M94" s="33"/>
      <c r="N94" s="33"/>
      <c r="O94" s="33"/>
      <c r="P94" s="33"/>
      <c r="Q94" s="33"/>
      <c r="R94" s="33"/>
      <c r="S94" s="33"/>
      <c r="T94" s="33"/>
      <c r="U94" s="33"/>
      <c r="V94" s="33"/>
      <c r="W94" s="33"/>
      <c r="X94" s="33"/>
      <c r="Y94" s="33"/>
      <c r="Z94" s="33"/>
      <c r="AA94" s="33"/>
      <c r="AB94" s="64"/>
      <c r="AC94" s="64"/>
      <c r="AD94" s="33"/>
      <c r="AE94" s="33"/>
      <c r="AF94" s="33"/>
      <c r="AG94" s="33"/>
      <c r="AH94" s="33"/>
      <c r="AI94" s="33"/>
      <c r="AJ94" s="33"/>
      <c r="AK94" s="65"/>
      <c r="BY94" s="126" t="e">
        <f>#REF!</f>
        <v>#REF!</v>
      </c>
      <c r="BZ94" s="126"/>
      <c r="CA94" s="126" t="s">
        <v>47</v>
      </c>
      <c r="CB94" s="126"/>
      <c r="CC94" s="126"/>
      <c r="CD94" s="126"/>
      <c r="CE94" s="126"/>
      <c r="CF94" s="126"/>
      <c r="CG94" s="126"/>
      <c r="CH94" s="126"/>
      <c r="CI94" s="126"/>
      <c r="CJ94" s="127"/>
      <c r="CK94" s="127"/>
      <c r="CL94" s="127"/>
    </row>
    <row r="95" spans="1:90" s="14" customFormat="1" ht="15" customHeight="1" x14ac:dyDescent="0.15">
      <c r="A95" s="279"/>
      <c r="B95" s="279"/>
      <c r="C95" s="279"/>
      <c r="D95" s="279"/>
      <c r="E95" s="279"/>
      <c r="F95" s="279"/>
      <c r="G95" s="279"/>
      <c r="H95" s="279"/>
      <c r="I95" s="279"/>
      <c r="J95" s="279"/>
      <c r="K95" s="279"/>
      <c r="L95" s="279"/>
      <c r="M95" s="279"/>
      <c r="N95" s="279"/>
      <c r="O95" s="279"/>
      <c r="P95" s="279"/>
      <c r="Q95" s="279"/>
      <c r="R95" s="279"/>
      <c r="S95" s="279"/>
      <c r="T95" s="279"/>
      <c r="U95" s="279"/>
      <c r="V95" s="279"/>
      <c r="W95" s="279"/>
      <c r="X95" s="279"/>
      <c r="Y95" s="279"/>
      <c r="Z95" s="279"/>
      <c r="AA95" s="279"/>
      <c r="AB95" s="279"/>
      <c r="AC95" s="279"/>
      <c r="AD95" s="279"/>
      <c r="AE95" s="279"/>
      <c r="AF95" s="279"/>
      <c r="AG95" s="279"/>
      <c r="AH95" s="279"/>
      <c r="AI95" s="279"/>
      <c r="AJ95" s="279"/>
      <c r="AK95" s="279"/>
      <c r="BY95" s="126" t="e">
        <f>#REF!</f>
        <v>#REF!</v>
      </c>
      <c r="BZ95" s="126">
        <v>0</v>
      </c>
      <c r="CA95" s="126">
        <v>0</v>
      </c>
      <c r="CB95" s="126">
        <v>0</v>
      </c>
      <c r="CC95" s="126">
        <v>0</v>
      </c>
      <c r="CD95" s="126">
        <v>0</v>
      </c>
      <c r="CE95" s="126">
        <v>0</v>
      </c>
      <c r="CF95" s="126">
        <v>0</v>
      </c>
      <c r="CG95" s="126">
        <v>0</v>
      </c>
      <c r="CH95" s="126">
        <v>0</v>
      </c>
      <c r="CI95" s="126" t="e">
        <f>#REF!</f>
        <v>#REF!</v>
      </c>
      <c r="CJ95" s="127"/>
      <c r="CK95" s="127"/>
      <c r="CL95" s="127"/>
    </row>
    <row r="96" spans="1:90" s="14" customFormat="1" ht="18" customHeight="1" x14ac:dyDescent="0.2">
      <c r="A96" s="108" t="s">
        <v>28</v>
      </c>
      <c r="B96" s="16"/>
      <c r="C96" s="16"/>
      <c r="D96" s="16"/>
      <c r="E96" s="16"/>
      <c r="F96" s="17"/>
      <c r="G96" s="18"/>
      <c r="H96" s="18"/>
      <c r="I96" s="18"/>
      <c r="J96" s="18"/>
      <c r="K96" s="18"/>
      <c r="L96" s="18"/>
      <c r="M96" s="18"/>
      <c r="N96" s="18"/>
      <c r="O96" s="18"/>
      <c r="P96" s="18"/>
      <c r="Q96" s="18"/>
      <c r="R96" s="18"/>
      <c r="S96" s="18"/>
      <c r="T96" s="18"/>
      <c r="U96" s="18"/>
      <c r="V96" s="18"/>
      <c r="W96" s="18"/>
      <c r="X96" s="18"/>
      <c r="Y96" s="18"/>
      <c r="Z96" s="18"/>
      <c r="AA96" s="18"/>
      <c r="AB96" s="18"/>
      <c r="AC96" s="19"/>
      <c r="AD96" s="20"/>
      <c r="AE96" s="20"/>
      <c r="AF96" s="20"/>
      <c r="AG96" s="20"/>
      <c r="AH96" s="20"/>
      <c r="AI96" s="20"/>
      <c r="AJ96" s="20"/>
      <c r="AK96" s="20"/>
      <c r="BY96" s="126" t="e">
        <f>#REF!</f>
        <v>#REF!</v>
      </c>
      <c r="BZ96" s="126">
        <v>0</v>
      </c>
      <c r="CA96" s="126">
        <v>0</v>
      </c>
      <c r="CB96" s="126">
        <v>0</v>
      </c>
      <c r="CC96" s="126">
        <v>0</v>
      </c>
      <c r="CD96" s="126">
        <v>0</v>
      </c>
      <c r="CE96" s="126">
        <v>0</v>
      </c>
      <c r="CF96" s="126">
        <v>0</v>
      </c>
      <c r="CG96" s="126">
        <v>0</v>
      </c>
      <c r="CH96" s="126">
        <v>0</v>
      </c>
      <c r="CI96" s="126" t="e">
        <f>#REF!</f>
        <v>#REF!</v>
      </c>
      <c r="CJ96" s="127"/>
      <c r="CK96" s="127"/>
      <c r="CL96" s="127"/>
    </row>
    <row r="97" spans="1:90" s="14" customFormat="1" ht="18" customHeight="1" x14ac:dyDescent="0.2">
      <c r="A97" s="280" t="s">
        <v>126</v>
      </c>
      <c r="B97" s="281"/>
      <c r="C97" s="281"/>
      <c r="D97" s="281"/>
      <c r="E97" s="281"/>
      <c r="F97" s="281"/>
      <c r="G97" s="282"/>
      <c r="H97" s="303" t="str">
        <f>CB97</f>
        <v>ＮＲＩデジタル株式会社</v>
      </c>
      <c r="I97" s="304"/>
      <c r="J97" s="304"/>
      <c r="K97" s="304"/>
      <c r="L97" s="304"/>
      <c r="M97" s="304"/>
      <c r="N97" s="304"/>
      <c r="O97" s="304"/>
      <c r="P97" s="304"/>
      <c r="Q97" s="304"/>
      <c r="R97" s="304"/>
      <c r="S97" s="304"/>
      <c r="T97" s="304"/>
      <c r="U97" s="304"/>
      <c r="V97" s="304"/>
      <c r="W97" s="304"/>
      <c r="X97" s="304"/>
      <c r="Y97" s="305"/>
      <c r="Z97" s="306" t="str">
        <f>CC97</f>
        <v/>
      </c>
      <c r="AA97" s="307"/>
      <c r="AB97" s="307"/>
      <c r="AC97" s="307"/>
      <c r="AD97" s="308"/>
      <c r="AE97" s="309"/>
      <c r="AF97" s="310"/>
      <c r="AG97" s="310"/>
      <c r="AH97" s="310"/>
      <c r="AI97" s="310"/>
      <c r="AJ97" s="310"/>
      <c r="AK97" s="311"/>
      <c r="BY97" s="126" t="e">
        <f>#REF!</f>
        <v>#REF!</v>
      </c>
      <c r="BZ97" s="126">
        <v>0</v>
      </c>
      <c r="CA97" s="126">
        <v>0</v>
      </c>
      <c r="CB97" s="126" t="s">
        <v>238</v>
      </c>
      <c r="CC97" s="126" t="s">
        <v>219</v>
      </c>
      <c r="CD97" s="126">
        <v>0</v>
      </c>
      <c r="CE97" s="126">
        <v>0</v>
      </c>
      <c r="CF97" s="126">
        <v>0</v>
      </c>
      <c r="CG97" s="126">
        <v>0</v>
      </c>
      <c r="CH97" s="126">
        <v>0</v>
      </c>
      <c r="CI97" s="126" t="e">
        <f>#REF!</f>
        <v>#REF!</v>
      </c>
      <c r="CJ97" s="127"/>
      <c r="CK97" s="127"/>
      <c r="CL97" s="127"/>
    </row>
    <row r="98" spans="1:90" s="14" customFormat="1" ht="18" customHeight="1" x14ac:dyDescent="0.2">
      <c r="A98" s="105" t="s">
        <v>5</v>
      </c>
      <c r="B98" s="283" t="s">
        <v>25</v>
      </c>
      <c r="C98" s="284"/>
      <c r="D98" s="284"/>
      <c r="E98" s="284"/>
      <c r="F98" s="284"/>
      <c r="G98" s="284"/>
      <c r="H98" s="284"/>
      <c r="I98" s="284"/>
      <c r="J98" s="284"/>
      <c r="K98" s="284"/>
      <c r="L98" s="284"/>
      <c r="M98" s="284"/>
      <c r="N98" s="284"/>
      <c r="O98" s="284"/>
      <c r="P98" s="285"/>
      <c r="Q98" s="223" t="s">
        <v>58</v>
      </c>
      <c r="R98" s="223"/>
      <c r="S98" s="223"/>
      <c r="T98" s="223"/>
      <c r="U98" s="223"/>
      <c r="V98" s="223"/>
      <c r="W98" s="223"/>
      <c r="X98" s="223"/>
      <c r="Y98" s="223"/>
      <c r="Z98" s="286" t="s">
        <v>30</v>
      </c>
      <c r="AA98" s="286"/>
      <c r="AB98" s="286"/>
      <c r="AC98" s="287" t="s">
        <v>186</v>
      </c>
      <c r="AD98" s="287"/>
      <c r="AE98" s="222" t="s">
        <v>8</v>
      </c>
      <c r="AF98" s="222"/>
      <c r="AG98" s="222"/>
      <c r="AH98" s="222"/>
      <c r="AI98" s="222" t="s">
        <v>9</v>
      </c>
      <c r="AJ98" s="222"/>
      <c r="AK98" s="227"/>
      <c r="AL98" s="15"/>
      <c r="AM98" s="5"/>
      <c r="AN98" s="5"/>
      <c r="AO98" s="5"/>
      <c r="AP98" s="5"/>
      <c r="AQ98" s="5"/>
      <c r="AR98" s="5"/>
      <c r="AS98" s="5"/>
      <c r="AT98" s="5"/>
      <c r="AU98" s="5"/>
      <c r="AV98" s="5"/>
      <c r="AW98" s="5"/>
      <c r="AX98" s="5"/>
      <c r="BY98" s="126" t="e">
        <f>#REF!</f>
        <v>#REF!</v>
      </c>
      <c r="BZ98" s="126">
        <v>0</v>
      </c>
      <c r="CA98" s="126">
        <v>0</v>
      </c>
      <c r="CB98" s="126" t="s">
        <v>242</v>
      </c>
      <c r="CC98" s="126" t="s">
        <v>243</v>
      </c>
      <c r="CD98" s="126" t="s">
        <v>244</v>
      </c>
      <c r="CE98" s="126" t="s">
        <v>245</v>
      </c>
      <c r="CF98" s="126" t="s">
        <v>246</v>
      </c>
      <c r="CG98" s="126">
        <v>0</v>
      </c>
      <c r="CH98" s="126">
        <v>0</v>
      </c>
      <c r="CI98" s="126" t="e">
        <f>#REF!</f>
        <v>#REF!</v>
      </c>
      <c r="CJ98" s="127"/>
      <c r="CK98" s="127"/>
      <c r="CL98" s="127"/>
    </row>
    <row r="99" spans="1:90" s="14" customFormat="1" ht="18" customHeight="1" x14ac:dyDescent="0.2">
      <c r="A99" s="106">
        <v>1</v>
      </c>
      <c r="B99" s="274" t="str">
        <f>IF($CA99=0,IF(CB99&lt;&gt;"",CB99,"★製品確認"),"－")</f>
        <v>GitHub製品（Enterprise）_新規【月額固定費】NRI技術サポート付</v>
      </c>
      <c r="C99" s="275"/>
      <c r="D99" s="275"/>
      <c r="E99" s="275"/>
      <c r="F99" s="275"/>
      <c r="G99" s="275"/>
      <c r="H99" s="275"/>
      <c r="I99" s="275"/>
      <c r="J99" s="275"/>
      <c r="K99" s="275"/>
      <c r="L99" s="275"/>
      <c r="M99" s="275"/>
      <c r="N99" s="275"/>
      <c r="O99" s="275"/>
      <c r="P99" s="276"/>
      <c r="Q99" s="215" t="str">
        <f t="shared" ref="Q99:Q100" si="0">IF($B99&lt;&gt;"－",IF($CH99&lt;&gt;"従量課金",IF(ISNUMBER(CC99),TEXT(CC99,"yyyy/mm/dd"),"yyyy/mm/dd"),"－"),"－")</f>
        <v>2026/01/01</v>
      </c>
      <c r="R99" s="215"/>
      <c r="S99" s="215"/>
      <c r="T99" s="215"/>
      <c r="U99" s="68" t="s">
        <v>49</v>
      </c>
      <c r="V99" s="215" t="str">
        <f t="shared" ref="V99:V100" si="1">IF($B99&lt;&gt;"－",IF($CH99&lt;&gt;"従量課金",IF(ISNUMBER(CD99),TEXT(CD99,"yyyy/mm/dd"),"yyyy/mm/dd"),"－"),"－")</f>
        <v>2026/12/31</v>
      </c>
      <c r="W99" s="215"/>
      <c r="X99" s="215"/>
      <c r="Y99" s="215"/>
      <c r="Z99" s="216">
        <f>IF($B99&lt;&gt;"－",IF(LEFT($CH99,4)&lt;&gt;"従量課金",IF(ISNUMBER(CE99),CE99,IF(CE99="※","※","★要確認")),"－"),"－")</f>
        <v>7</v>
      </c>
      <c r="AA99" s="216"/>
      <c r="AB99" s="216"/>
      <c r="AC99" s="241">
        <f>IF($B99&lt;&gt;"－",IF(LEFT($CH99,4)&lt;&gt;"従量課金",1,"－"),"－")</f>
        <v>1</v>
      </c>
      <c r="AD99" s="241"/>
      <c r="AE99" s="273">
        <f>IF($B99&lt;&gt;"－",IF(LEFT($CH99,4)&lt;&gt;"従量課金",$CF99,"※特約事項欄参照"),"－")</f>
        <v>4410</v>
      </c>
      <c r="AF99" s="273"/>
      <c r="AG99" s="273"/>
      <c r="AH99" s="273"/>
      <c r="AI99" s="218">
        <f>IF($B99&lt;&gt;"－",IF(LEFT($CH99,4)&lt;&gt;"従量課金",IF(Z99&lt;&gt;"－",CG99,""),"－"),"－")</f>
        <v>370440</v>
      </c>
      <c r="AJ99" s="218"/>
      <c r="AK99" s="219"/>
      <c r="AL99" s="15"/>
      <c r="AM99" s="5"/>
      <c r="AN99" s="5"/>
      <c r="AO99" s="5"/>
      <c r="AP99" s="5"/>
      <c r="AQ99" s="5"/>
      <c r="AR99" s="5"/>
      <c r="AS99" s="5"/>
      <c r="AT99" s="5"/>
      <c r="AU99" s="5"/>
      <c r="AV99" s="5"/>
      <c r="AW99" s="5"/>
      <c r="AX99" s="5"/>
      <c r="BY99" s="126" t="e">
        <f>#REF!</f>
        <v>#REF!</v>
      </c>
      <c r="BZ99" s="126" t="s">
        <v>72</v>
      </c>
      <c r="CA99" s="126">
        <v>0</v>
      </c>
      <c r="CB99" s="126" t="s">
        <v>247</v>
      </c>
      <c r="CC99" s="126">
        <v>46023</v>
      </c>
      <c r="CD99" s="126">
        <v>46387</v>
      </c>
      <c r="CE99" s="126">
        <v>7</v>
      </c>
      <c r="CF99" s="126">
        <v>4410</v>
      </c>
      <c r="CG99" s="126">
        <v>370440</v>
      </c>
      <c r="CH99" s="126" t="s">
        <v>110</v>
      </c>
      <c r="CI99" s="126" t="e">
        <f>#REF!</f>
        <v>#REF!</v>
      </c>
      <c r="CJ99" s="127"/>
      <c r="CK99" s="127"/>
      <c r="CL99" s="127"/>
    </row>
    <row r="100" spans="1:90" s="14" customFormat="1" ht="18" hidden="1" customHeight="1" x14ac:dyDescent="0.2">
      <c r="A100" s="106">
        <v>2</v>
      </c>
      <c r="B100" s="270" t="str">
        <f t="shared" ref="B100:B102" si="2">IF($CA100=0,IF(CB100&lt;&gt;"",CB100,"★製品確認"),"－")</f>
        <v>－</v>
      </c>
      <c r="C100" s="271"/>
      <c r="D100" s="271"/>
      <c r="E100" s="271"/>
      <c r="F100" s="271"/>
      <c r="G100" s="271"/>
      <c r="H100" s="271"/>
      <c r="I100" s="271"/>
      <c r="J100" s="271"/>
      <c r="K100" s="271"/>
      <c r="L100" s="271"/>
      <c r="M100" s="271"/>
      <c r="N100" s="271"/>
      <c r="O100" s="271"/>
      <c r="P100" s="272"/>
      <c r="Q100" s="215" t="str">
        <f t="shared" si="0"/>
        <v>－</v>
      </c>
      <c r="R100" s="215"/>
      <c r="S100" s="215"/>
      <c r="T100" s="215"/>
      <c r="U100" s="68" t="s">
        <v>49</v>
      </c>
      <c r="V100" s="215" t="str">
        <f t="shared" si="1"/>
        <v>－</v>
      </c>
      <c r="W100" s="215"/>
      <c r="X100" s="215"/>
      <c r="Y100" s="215"/>
      <c r="Z100" s="216" t="str">
        <f t="shared" ref="Z100:Z103" si="3">IF($B100&lt;&gt;"－",IF(LEFT($CH100,4)&lt;&gt;"従量課金",IF(ISNUMBER(CE100),CE100,IF(CE100="※","※","★要確認")),"－"),"－")</f>
        <v>－</v>
      </c>
      <c r="AA100" s="216"/>
      <c r="AB100" s="216"/>
      <c r="AC100" s="241" t="str">
        <f t="shared" ref="AC100:AC103" si="4">IF($B100&lt;&gt;"－",IF(LEFT($CH100,4)&lt;&gt;"従量課金",1,"－"),"－")</f>
        <v>－</v>
      </c>
      <c r="AD100" s="241"/>
      <c r="AE100" s="273" t="str">
        <f t="shared" ref="AE100:AE103" si="5">IF($B100&lt;&gt;"－",IF(LEFT($CH100,4)&lt;&gt;"従量課金",$CF100,"※特記事項欄参照"),"－")</f>
        <v>－</v>
      </c>
      <c r="AF100" s="273"/>
      <c r="AG100" s="273"/>
      <c r="AH100" s="273"/>
      <c r="AI100" s="218" t="str">
        <f t="shared" ref="AI100:AI103" si="6">IF($B100&lt;&gt;"－",IF(LEFT($CH100,4)&lt;&gt;"従量課金",IF(Z100&lt;&gt;"－",CG100,""),"－"),"－")</f>
        <v>－</v>
      </c>
      <c r="AJ100" s="218"/>
      <c r="AK100" s="219"/>
      <c r="AL100" s="15"/>
      <c r="AM100" s="5"/>
      <c r="AN100" s="5"/>
      <c r="AO100" s="5"/>
      <c r="AP100" s="5"/>
      <c r="AQ100" s="5"/>
      <c r="AR100" s="5"/>
      <c r="AS100" s="5"/>
      <c r="AT100" s="5"/>
      <c r="AU100" s="5"/>
      <c r="AV100" s="5"/>
      <c r="AW100" s="5"/>
      <c r="AX100" s="5"/>
      <c r="BY100" s="126" t="e">
        <f>#REF!</f>
        <v>#REF!</v>
      </c>
      <c r="BZ100" s="126" t="s">
        <v>72</v>
      </c>
      <c r="CA100" s="126" t="s">
        <v>47</v>
      </c>
      <c r="CB100" s="126" t="s">
        <v>248</v>
      </c>
      <c r="CC100" s="126">
        <v>45809</v>
      </c>
      <c r="CD100" s="126">
        <v>45870</v>
      </c>
      <c r="CE100" s="126">
        <v>400</v>
      </c>
      <c r="CF100" s="126">
        <v>2000</v>
      </c>
      <c r="CG100" s="126">
        <v>200000</v>
      </c>
      <c r="CH100" s="126">
        <v>0</v>
      </c>
      <c r="CI100" s="126" t="e">
        <f>#REF!</f>
        <v>#REF!</v>
      </c>
      <c r="CJ100" s="127"/>
      <c r="CK100" s="127"/>
      <c r="CL100" s="127"/>
    </row>
    <row r="101" spans="1:90" s="14" customFormat="1" ht="18" hidden="1" customHeight="1" x14ac:dyDescent="0.2">
      <c r="A101" s="106">
        <v>3</v>
      </c>
      <c r="B101" s="270" t="str">
        <f t="shared" si="2"/>
        <v>－</v>
      </c>
      <c r="C101" s="271"/>
      <c r="D101" s="271"/>
      <c r="E101" s="271"/>
      <c r="F101" s="271"/>
      <c r="G101" s="271"/>
      <c r="H101" s="271"/>
      <c r="I101" s="271"/>
      <c r="J101" s="271"/>
      <c r="K101" s="271"/>
      <c r="L101" s="271"/>
      <c r="M101" s="271"/>
      <c r="N101" s="271"/>
      <c r="O101" s="271"/>
      <c r="P101" s="272"/>
      <c r="Q101" s="215" t="str">
        <f>IF($B101&lt;&gt;"－",IF($CH101&lt;&gt;"従量課金",IF(ISNUMBER(CC101),TEXT(CC101,"yyyy/mm/dd"),"yyyy/mm/dd"),"－"),"－")</f>
        <v>－</v>
      </c>
      <c r="R101" s="215"/>
      <c r="S101" s="215"/>
      <c r="T101" s="215"/>
      <c r="U101" s="68" t="s">
        <v>49</v>
      </c>
      <c r="V101" s="215" t="str">
        <f>IF($B101&lt;&gt;"－",IF($CH101&lt;&gt;"従量課金",IF(ISNUMBER(CD101),TEXT(CD101,"yyyy/mm/dd"),"yyyy/mm/dd"),"－"),"－")</f>
        <v>－</v>
      </c>
      <c r="W101" s="215"/>
      <c r="X101" s="215"/>
      <c r="Y101" s="215"/>
      <c r="Z101" s="216" t="str">
        <f t="shared" si="3"/>
        <v>－</v>
      </c>
      <c r="AA101" s="216"/>
      <c r="AB101" s="216"/>
      <c r="AC101" s="241" t="str">
        <f t="shared" si="4"/>
        <v>－</v>
      </c>
      <c r="AD101" s="241"/>
      <c r="AE101" s="273" t="str">
        <f t="shared" si="5"/>
        <v>－</v>
      </c>
      <c r="AF101" s="273"/>
      <c r="AG101" s="273"/>
      <c r="AH101" s="273"/>
      <c r="AI101" s="218" t="str">
        <f t="shared" si="6"/>
        <v>－</v>
      </c>
      <c r="AJ101" s="218"/>
      <c r="AK101" s="219"/>
      <c r="AL101" s="15"/>
      <c r="AM101" s="5"/>
      <c r="AN101" s="5"/>
      <c r="AO101" s="5"/>
      <c r="AP101" s="5"/>
      <c r="AQ101" s="5"/>
      <c r="AR101" s="5"/>
      <c r="AS101" s="5"/>
      <c r="AT101" s="5"/>
      <c r="AU101" s="5"/>
      <c r="AV101" s="5"/>
      <c r="AW101" s="5"/>
      <c r="AX101" s="5"/>
      <c r="BY101" s="126" t="e">
        <f>#REF!</f>
        <v>#REF!</v>
      </c>
      <c r="BZ101" s="126" t="s">
        <v>72</v>
      </c>
      <c r="CA101" s="126" t="s">
        <v>47</v>
      </c>
      <c r="CB101" s="126" t="s">
        <v>249</v>
      </c>
      <c r="CC101" s="126">
        <v>45809</v>
      </c>
      <c r="CD101" s="126">
        <v>45870</v>
      </c>
      <c r="CE101" s="126">
        <v>300</v>
      </c>
      <c r="CF101" s="126">
        <v>3000</v>
      </c>
      <c r="CG101" s="126">
        <v>300000</v>
      </c>
      <c r="CH101" s="126">
        <v>0</v>
      </c>
      <c r="CI101" s="126" t="e">
        <f>#REF!</f>
        <v>#REF!</v>
      </c>
      <c r="CJ101" s="127"/>
      <c r="CK101" s="127"/>
      <c r="CL101" s="127"/>
    </row>
    <row r="102" spans="1:90" s="14" customFormat="1" ht="18" hidden="1" customHeight="1" x14ac:dyDescent="0.2">
      <c r="A102" s="106">
        <v>4</v>
      </c>
      <c r="B102" s="270" t="str">
        <f t="shared" si="2"/>
        <v>－</v>
      </c>
      <c r="C102" s="271"/>
      <c r="D102" s="271"/>
      <c r="E102" s="271"/>
      <c r="F102" s="271"/>
      <c r="G102" s="271"/>
      <c r="H102" s="271"/>
      <c r="I102" s="271"/>
      <c r="J102" s="271"/>
      <c r="K102" s="271"/>
      <c r="L102" s="271"/>
      <c r="M102" s="271"/>
      <c r="N102" s="271"/>
      <c r="O102" s="271"/>
      <c r="P102" s="272"/>
      <c r="Q102" s="215" t="str">
        <f t="shared" ref="Q102:Q103" si="7">IF($B102&lt;&gt;"－",IF($CH102&lt;&gt;"従量課金",IF(ISNUMBER(CC102),TEXT(CC102,"yyyy/mm/dd"),"yyyy/mm/dd"),"－"),"－")</f>
        <v>－</v>
      </c>
      <c r="R102" s="215"/>
      <c r="S102" s="215"/>
      <c r="T102" s="215"/>
      <c r="U102" s="68" t="s">
        <v>49</v>
      </c>
      <c r="V102" s="215" t="str">
        <f t="shared" ref="V102:V103" si="8">IF($B102&lt;&gt;"－",IF($CH102&lt;&gt;"従量課金",IF(ISNUMBER(CD102),TEXT(CD102,"yyyy/mm/dd"),"yyyy/mm/dd"),"－"),"－")</f>
        <v>－</v>
      </c>
      <c r="W102" s="215"/>
      <c r="X102" s="215"/>
      <c r="Y102" s="215"/>
      <c r="Z102" s="216" t="str">
        <f t="shared" si="3"/>
        <v>－</v>
      </c>
      <c r="AA102" s="216"/>
      <c r="AB102" s="216"/>
      <c r="AC102" s="241" t="str">
        <f t="shared" si="4"/>
        <v>－</v>
      </c>
      <c r="AD102" s="241"/>
      <c r="AE102" s="273" t="str">
        <f t="shared" si="5"/>
        <v>－</v>
      </c>
      <c r="AF102" s="273"/>
      <c r="AG102" s="273"/>
      <c r="AH102" s="273"/>
      <c r="AI102" s="218" t="str">
        <f t="shared" si="6"/>
        <v>－</v>
      </c>
      <c r="AJ102" s="218"/>
      <c r="AK102" s="219"/>
      <c r="AL102" s="15"/>
      <c r="AM102" s="5"/>
      <c r="AN102" s="5"/>
      <c r="AO102" s="5"/>
      <c r="AP102" s="5"/>
      <c r="AQ102" s="5"/>
      <c r="AR102" s="5"/>
      <c r="AS102" s="5"/>
      <c r="AT102" s="5"/>
      <c r="AU102" s="5"/>
      <c r="AV102" s="5"/>
      <c r="AW102" s="5"/>
      <c r="AX102" s="5"/>
      <c r="BY102" s="126" t="e">
        <f>#REF!</f>
        <v>#REF!</v>
      </c>
      <c r="BZ102" s="126" t="s">
        <v>72</v>
      </c>
      <c r="CA102" s="126" t="s">
        <v>47</v>
      </c>
      <c r="CB102" s="126" t="s">
        <v>250</v>
      </c>
      <c r="CC102" s="126">
        <v>45809</v>
      </c>
      <c r="CD102" s="126">
        <v>45870</v>
      </c>
      <c r="CE102" s="126">
        <v>200</v>
      </c>
      <c r="CF102" s="126">
        <v>4000</v>
      </c>
      <c r="CG102" s="126">
        <v>400000</v>
      </c>
      <c r="CH102" s="126">
        <v>0</v>
      </c>
      <c r="CI102" s="126" t="e">
        <f>#REF!</f>
        <v>#REF!</v>
      </c>
      <c r="CJ102" s="127"/>
      <c r="CK102" s="127"/>
      <c r="CL102" s="127"/>
    </row>
    <row r="103" spans="1:90" s="14" customFormat="1" ht="18" hidden="1" customHeight="1" x14ac:dyDescent="0.2">
      <c r="A103" s="107"/>
      <c r="B103" s="266" t="str">
        <f>IF($CA103=0,IF(CB103&lt;&gt;"",CB103,"★製品確認"),"－")</f>
        <v>－</v>
      </c>
      <c r="C103" s="267"/>
      <c r="D103" s="267"/>
      <c r="E103" s="267"/>
      <c r="F103" s="267"/>
      <c r="G103" s="267"/>
      <c r="H103" s="267"/>
      <c r="I103" s="267"/>
      <c r="J103" s="267"/>
      <c r="K103" s="267"/>
      <c r="L103" s="267"/>
      <c r="M103" s="267"/>
      <c r="N103" s="267"/>
      <c r="O103" s="267"/>
      <c r="P103" s="268"/>
      <c r="Q103" s="209" t="str">
        <f t="shared" si="7"/>
        <v>－</v>
      </c>
      <c r="R103" s="209"/>
      <c r="S103" s="209"/>
      <c r="T103" s="209"/>
      <c r="U103" s="50" t="s">
        <v>49</v>
      </c>
      <c r="V103" s="209" t="str">
        <f t="shared" si="8"/>
        <v>－</v>
      </c>
      <c r="W103" s="209"/>
      <c r="X103" s="209"/>
      <c r="Y103" s="209"/>
      <c r="Z103" s="210" t="str">
        <f t="shared" si="3"/>
        <v>－</v>
      </c>
      <c r="AA103" s="210"/>
      <c r="AB103" s="210"/>
      <c r="AC103" s="237" t="str">
        <f t="shared" si="4"/>
        <v>－</v>
      </c>
      <c r="AD103" s="237"/>
      <c r="AE103" s="269" t="str">
        <f t="shared" si="5"/>
        <v>－</v>
      </c>
      <c r="AF103" s="269"/>
      <c r="AG103" s="269"/>
      <c r="AH103" s="269"/>
      <c r="AI103" s="212" t="str">
        <f t="shared" si="6"/>
        <v>－</v>
      </c>
      <c r="AJ103" s="212"/>
      <c r="AK103" s="213"/>
      <c r="AL103" s="15"/>
      <c r="AM103" s="5"/>
      <c r="AN103" s="5"/>
      <c r="AO103" s="5"/>
      <c r="AP103" s="5"/>
      <c r="AQ103" s="5"/>
      <c r="AR103" s="5"/>
      <c r="AS103" s="5"/>
      <c r="AT103" s="5"/>
      <c r="AU103" s="5"/>
      <c r="AV103" s="5"/>
      <c r="AW103" s="5"/>
      <c r="AX103" s="5"/>
      <c r="BY103" s="126" t="e">
        <f>#REF!</f>
        <v>#REF!</v>
      </c>
      <c r="BZ103" s="126" t="s">
        <v>72</v>
      </c>
      <c r="CA103" s="126" t="s">
        <v>47</v>
      </c>
      <c r="CB103" s="126" t="s">
        <v>251</v>
      </c>
      <c r="CC103" s="126">
        <v>45809</v>
      </c>
      <c r="CD103" s="126">
        <v>45870</v>
      </c>
      <c r="CE103" s="126">
        <v>100</v>
      </c>
      <c r="CF103" s="126">
        <v>5000</v>
      </c>
      <c r="CG103" s="126">
        <v>500000</v>
      </c>
      <c r="CH103" s="126">
        <v>0</v>
      </c>
      <c r="CI103" s="126" t="e">
        <f>#REF!</f>
        <v>#REF!</v>
      </c>
      <c r="CJ103" s="127"/>
      <c r="CK103" s="127"/>
      <c r="CL103" s="127"/>
    </row>
    <row r="104" spans="1:90" s="14" customFormat="1" ht="2.1" customHeight="1" x14ac:dyDescent="0.2">
      <c r="A104" s="89"/>
      <c r="B104" s="99"/>
      <c r="C104" s="99"/>
      <c r="D104" s="99"/>
      <c r="E104" s="99"/>
      <c r="F104" s="99"/>
      <c r="G104" s="99"/>
      <c r="H104" s="99"/>
      <c r="I104" s="99"/>
      <c r="J104" s="99"/>
      <c r="K104" s="99"/>
      <c r="L104" s="99"/>
      <c r="M104" s="99"/>
      <c r="N104" s="99"/>
      <c r="O104" s="99"/>
      <c r="P104" s="99"/>
      <c r="Q104" s="66"/>
      <c r="R104" s="66"/>
      <c r="S104" s="66"/>
      <c r="T104" s="66"/>
      <c r="U104" s="93"/>
      <c r="V104" s="66"/>
      <c r="W104" s="66"/>
      <c r="X104" s="66"/>
      <c r="Y104" s="66"/>
      <c r="Z104" s="66"/>
      <c r="AA104" s="66"/>
      <c r="AB104" s="66"/>
      <c r="AC104" s="66"/>
      <c r="AD104" s="93"/>
      <c r="AE104" s="102"/>
      <c r="AF104" s="102"/>
      <c r="AG104" s="102"/>
      <c r="AH104" s="102"/>
      <c r="AI104" s="94"/>
      <c r="AJ104" s="94"/>
      <c r="AK104" s="95"/>
      <c r="AL104" s="15"/>
      <c r="AM104" s="5"/>
      <c r="AN104" s="5"/>
      <c r="AO104" s="5"/>
      <c r="AP104" s="5"/>
      <c r="AQ104" s="5"/>
      <c r="AR104" s="5"/>
      <c r="AS104" s="5"/>
      <c r="AT104" s="5"/>
      <c r="AU104" s="5"/>
      <c r="AV104" s="5"/>
      <c r="AW104" s="5"/>
      <c r="AX104" s="5"/>
      <c r="BY104" s="126" t="e">
        <f>#REF!</f>
        <v>#REF!</v>
      </c>
      <c r="BZ104" s="126">
        <v>0</v>
      </c>
      <c r="CA104" s="126">
        <v>0</v>
      </c>
      <c r="CB104" s="126">
        <v>0</v>
      </c>
      <c r="CC104" s="126">
        <v>0</v>
      </c>
      <c r="CD104" s="126">
        <v>0</v>
      </c>
      <c r="CE104" s="126">
        <v>0</v>
      </c>
      <c r="CF104" s="126">
        <v>0</v>
      </c>
      <c r="CG104" s="126">
        <v>0</v>
      </c>
      <c r="CH104" s="126">
        <v>0</v>
      </c>
      <c r="CI104" s="126" t="e">
        <f>#REF!</f>
        <v>#REF!</v>
      </c>
      <c r="CJ104" s="127"/>
      <c r="CK104" s="127"/>
      <c r="CL104" s="127"/>
    </row>
    <row r="105" spans="1:90" s="47" customFormat="1" ht="18" customHeight="1" x14ac:dyDescent="0.2">
      <c r="A105" s="183"/>
      <c r="B105" s="257" t="str">
        <f>IF(CC105="AWS_CPPO","",IF($CA105=0,"支払条件　","－"))</f>
        <v>支払条件　</v>
      </c>
      <c r="C105" s="257"/>
      <c r="D105" s="257"/>
      <c r="E105" s="257"/>
      <c r="F105" s="257"/>
      <c r="G105" s="257"/>
      <c r="H105" s="257"/>
      <c r="I105" s="257"/>
      <c r="J105" s="257"/>
      <c r="K105" s="257"/>
      <c r="L105" s="257"/>
      <c r="M105" s="257"/>
      <c r="N105" s="257"/>
      <c r="O105" s="257"/>
      <c r="P105" s="257"/>
      <c r="Q105" s="258" t="str">
        <f>IF(B105&lt;&gt;"－",CB105,"－")</f>
        <v>※特約事項欄参照</v>
      </c>
      <c r="R105" s="258"/>
      <c r="S105" s="258"/>
      <c r="T105" s="258"/>
      <c r="U105" s="258"/>
      <c r="V105" s="258"/>
      <c r="W105" s="258"/>
      <c r="X105" s="258"/>
      <c r="Y105" s="258"/>
      <c r="Z105" s="258"/>
      <c r="AA105" s="258"/>
      <c r="AB105" s="258"/>
      <c r="AC105" s="258"/>
      <c r="AD105" s="259"/>
      <c r="AE105" s="260" t="str">
        <f>IF($B105&lt;&gt;"－","合計","－")</f>
        <v>合計</v>
      </c>
      <c r="AF105" s="261"/>
      <c r="AG105" s="261"/>
      <c r="AH105" s="261"/>
      <c r="AI105" s="262">
        <f>IF($B105&lt;&gt;"－",CG105,"－")</f>
        <v>370440</v>
      </c>
      <c r="AJ105" s="262"/>
      <c r="AK105" s="263"/>
      <c r="AL105" s="46"/>
      <c r="AM105" s="46"/>
      <c r="AN105" s="46"/>
      <c r="AO105" s="46"/>
      <c r="AP105" s="46"/>
      <c r="BY105" s="126" t="e">
        <f>#REF!</f>
        <v>#REF!</v>
      </c>
      <c r="BZ105" s="126">
        <v>0</v>
      </c>
      <c r="CA105" s="126">
        <v>0</v>
      </c>
      <c r="CB105" s="126" t="s">
        <v>212</v>
      </c>
      <c r="CC105" s="126" t="s">
        <v>219</v>
      </c>
      <c r="CD105" s="126" t="s">
        <v>252</v>
      </c>
      <c r="CE105" s="126" t="s">
        <v>219</v>
      </c>
      <c r="CF105" s="126">
        <v>0</v>
      </c>
      <c r="CG105" s="126">
        <v>370440</v>
      </c>
      <c r="CH105" s="126">
        <v>0</v>
      </c>
      <c r="CI105" s="126" t="e">
        <f>#REF!</f>
        <v>#REF!</v>
      </c>
      <c r="CJ105" s="136"/>
      <c r="CK105" s="136"/>
      <c r="CL105" s="136"/>
    </row>
    <row r="106" spans="1:90" s="83" customFormat="1" ht="15" customHeight="1" x14ac:dyDescent="0.2">
      <c r="A106" s="119"/>
      <c r="B106" s="264" t="str">
        <f>CB106</f>
        <v>※ 製品の内訳内容は見積書（見積書番号：202512-10-2165640）を参照のこと</v>
      </c>
      <c r="C106" s="264"/>
      <c r="D106" s="264"/>
      <c r="E106" s="264"/>
      <c r="F106" s="264"/>
      <c r="G106" s="264"/>
      <c r="H106" s="264"/>
      <c r="I106" s="264"/>
      <c r="J106" s="264"/>
      <c r="K106" s="264"/>
      <c r="L106" s="264"/>
      <c r="M106" s="264"/>
      <c r="N106" s="264"/>
      <c r="O106" s="264"/>
      <c r="P106" s="264"/>
      <c r="Q106" s="264"/>
      <c r="R106" s="264"/>
      <c r="S106" s="264"/>
      <c r="T106" s="264"/>
      <c r="U106" s="264"/>
      <c r="V106" s="264"/>
      <c r="W106" s="264"/>
      <c r="X106" s="264"/>
      <c r="Y106" s="264"/>
      <c r="Z106" s="121" t="s">
        <v>187</v>
      </c>
      <c r="AA106" s="122"/>
      <c r="AB106" s="120"/>
      <c r="AC106" s="120"/>
      <c r="AD106" s="120"/>
      <c r="AE106" s="120"/>
      <c r="AF106" s="120"/>
      <c r="AG106" s="120"/>
      <c r="AH106" s="120"/>
      <c r="AI106" s="120"/>
      <c r="AJ106" s="120"/>
      <c r="AK106" s="120"/>
      <c r="BY106" s="126" t="e">
        <f>#REF!</f>
        <v>#REF!</v>
      </c>
      <c r="BZ106" s="126">
        <v>0</v>
      </c>
      <c r="CA106" s="126">
        <v>0</v>
      </c>
      <c r="CB106" s="126" t="s">
        <v>253</v>
      </c>
      <c r="CC106" s="126">
        <v>0</v>
      </c>
      <c r="CD106" s="126">
        <v>0</v>
      </c>
      <c r="CE106" s="126">
        <v>0</v>
      </c>
      <c r="CF106" s="126">
        <v>0</v>
      </c>
      <c r="CG106" s="126">
        <v>0</v>
      </c>
      <c r="CH106" s="126">
        <v>0</v>
      </c>
      <c r="CI106" s="126" t="e">
        <f>#REF!</f>
        <v>#REF!</v>
      </c>
      <c r="CJ106" s="137"/>
      <c r="CK106" s="137"/>
      <c r="CL106" s="137"/>
    </row>
    <row r="107" spans="1:90" s="83" customFormat="1" ht="9.9" customHeight="1" x14ac:dyDescent="0.2">
      <c r="A107" s="80"/>
      <c r="B107" s="81"/>
      <c r="C107" s="80"/>
      <c r="D107" s="80"/>
      <c r="E107" s="80"/>
      <c r="F107" s="80"/>
      <c r="G107" s="80"/>
      <c r="H107" s="80"/>
      <c r="I107" s="80"/>
      <c r="J107" s="80"/>
      <c r="K107" s="80"/>
      <c r="L107" s="80"/>
      <c r="M107" s="80"/>
      <c r="N107" s="80"/>
      <c r="O107" s="80"/>
      <c r="P107" s="82"/>
      <c r="Q107" s="265" t="str">
        <f>CB107</f>
        <v/>
      </c>
      <c r="R107" s="265"/>
      <c r="S107" s="265"/>
      <c r="T107" s="265"/>
      <c r="U107" s="265"/>
      <c r="V107" s="265"/>
      <c r="W107" s="265"/>
      <c r="X107" s="265"/>
      <c r="Y107" s="265"/>
      <c r="Z107" s="265"/>
      <c r="AA107" s="265"/>
      <c r="AB107" s="265"/>
      <c r="AC107" s="265"/>
      <c r="AD107" s="265"/>
      <c r="AE107" s="265"/>
      <c r="AF107" s="265"/>
      <c r="AG107" s="265"/>
      <c r="AH107" s="265"/>
      <c r="AI107" s="265"/>
      <c r="AJ107" s="265"/>
      <c r="AK107" s="82"/>
      <c r="BY107" s="126" t="e">
        <f>#REF!</f>
        <v>#REF!</v>
      </c>
      <c r="BZ107" s="126">
        <v>0</v>
      </c>
      <c r="CA107" s="126">
        <v>0</v>
      </c>
      <c r="CB107" s="126" t="s">
        <v>219</v>
      </c>
      <c r="CC107" s="126" t="s">
        <v>254</v>
      </c>
      <c r="CD107" s="126">
        <v>0</v>
      </c>
      <c r="CE107" s="126">
        <v>0</v>
      </c>
      <c r="CF107" s="126">
        <v>0</v>
      </c>
      <c r="CG107" s="126">
        <v>0</v>
      </c>
      <c r="CH107" s="126">
        <v>0</v>
      </c>
      <c r="CI107" s="126" t="e">
        <f>#REF!</f>
        <v>#REF!</v>
      </c>
      <c r="CJ107" s="137"/>
      <c r="CK107" s="137"/>
      <c r="CL107" s="137"/>
    </row>
    <row r="108" spans="1:90" s="14" customFormat="1" ht="18" customHeight="1" x14ac:dyDescent="0.2">
      <c r="A108" s="108" t="s">
        <v>27</v>
      </c>
      <c r="B108" s="16"/>
      <c r="C108" s="16"/>
      <c r="D108" s="16"/>
      <c r="E108" s="16"/>
      <c r="F108" s="17"/>
      <c r="G108" s="18"/>
      <c r="H108" s="18"/>
      <c r="I108" s="18"/>
      <c r="J108" s="18"/>
      <c r="K108" s="18"/>
      <c r="L108" s="18"/>
      <c r="M108" s="18"/>
      <c r="N108" s="18"/>
      <c r="O108" s="18"/>
      <c r="P108" s="18"/>
      <c r="Q108" s="18"/>
      <c r="R108" s="18"/>
      <c r="S108" s="18"/>
      <c r="T108" s="18"/>
      <c r="U108" s="18"/>
      <c r="V108" s="18"/>
      <c r="W108" s="18"/>
      <c r="X108" s="18"/>
      <c r="Y108" s="18"/>
      <c r="Z108" s="18"/>
      <c r="AA108" s="18"/>
      <c r="AB108" s="18"/>
      <c r="AC108" s="19"/>
      <c r="AD108" s="20"/>
      <c r="AE108" s="20"/>
      <c r="AF108" s="20"/>
      <c r="AG108" s="20"/>
      <c r="AH108" s="20"/>
      <c r="AI108" s="20"/>
      <c r="AJ108" s="20"/>
      <c r="AK108" s="20"/>
      <c r="BY108" s="126" t="e">
        <f>#REF!</f>
        <v>#REF!</v>
      </c>
      <c r="BZ108" s="126">
        <v>0</v>
      </c>
      <c r="CA108" s="126">
        <v>0</v>
      </c>
      <c r="CB108" s="126">
        <v>0</v>
      </c>
      <c r="CC108" s="126">
        <v>0</v>
      </c>
      <c r="CD108" s="126">
        <v>0</v>
      </c>
      <c r="CE108" s="126">
        <v>0</v>
      </c>
      <c r="CF108" s="126">
        <v>0</v>
      </c>
      <c r="CG108" s="126">
        <v>0</v>
      </c>
      <c r="CH108" s="126">
        <v>0</v>
      </c>
      <c r="CI108" s="126" t="e">
        <f>#REF!</f>
        <v>#REF!</v>
      </c>
      <c r="CJ108" s="127"/>
      <c r="CK108" s="127"/>
      <c r="CL108" s="127"/>
    </row>
    <row r="109" spans="1:90" s="14" customFormat="1" ht="18" customHeight="1" x14ac:dyDescent="0.2">
      <c r="A109" s="87" t="s">
        <v>5</v>
      </c>
      <c r="B109" s="222" t="s">
        <v>57</v>
      </c>
      <c r="C109" s="222"/>
      <c r="D109" s="222"/>
      <c r="E109" s="222"/>
      <c r="F109" s="222"/>
      <c r="G109" s="222"/>
      <c r="H109" s="222"/>
      <c r="I109" s="222"/>
      <c r="J109" s="222"/>
      <c r="K109" s="222"/>
      <c r="L109" s="222"/>
      <c r="M109" s="222"/>
      <c r="N109" s="222"/>
      <c r="O109" s="222"/>
      <c r="P109" s="222"/>
      <c r="Q109" s="223" t="s">
        <v>58</v>
      </c>
      <c r="R109" s="223"/>
      <c r="S109" s="223"/>
      <c r="T109" s="223"/>
      <c r="U109" s="223"/>
      <c r="V109" s="223"/>
      <c r="W109" s="223"/>
      <c r="X109" s="223"/>
      <c r="Y109" s="223"/>
      <c r="Z109" s="224" t="s">
        <v>26</v>
      </c>
      <c r="AA109" s="224"/>
      <c r="AB109" s="224"/>
      <c r="AC109" s="224" t="s">
        <v>48</v>
      </c>
      <c r="AD109" s="224"/>
      <c r="AE109" s="224" t="s">
        <v>56</v>
      </c>
      <c r="AF109" s="224"/>
      <c r="AG109" s="224"/>
      <c r="AH109" s="224"/>
      <c r="AI109" s="222" t="s">
        <v>9</v>
      </c>
      <c r="AJ109" s="222"/>
      <c r="AK109" s="227"/>
      <c r="AL109" s="15"/>
      <c r="AM109" s="5"/>
      <c r="AN109" s="5"/>
      <c r="AO109" s="5"/>
      <c r="AP109" s="5"/>
      <c r="AQ109" s="5"/>
      <c r="AR109" s="5"/>
      <c r="AS109" s="5"/>
      <c r="AT109" s="5"/>
      <c r="AU109" s="5"/>
      <c r="AV109" s="5"/>
      <c r="AW109" s="5"/>
      <c r="AX109" s="5"/>
      <c r="BY109" s="126" t="e">
        <f>#REF!</f>
        <v>#REF!</v>
      </c>
      <c r="BZ109" s="126">
        <v>0</v>
      </c>
      <c r="CA109" s="126">
        <v>0</v>
      </c>
      <c r="CB109" s="126">
        <v>0</v>
      </c>
      <c r="CC109" s="126">
        <v>0</v>
      </c>
      <c r="CD109" s="126">
        <v>0</v>
      </c>
      <c r="CE109" s="126">
        <v>0</v>
      </c>
      <c r="CF109" s="126">
        <v>0</v>
      </c>
      <c r="CG109" s="126">
        <v>0</v>
      </c>
      <c r="CH109" s="126">
        <v>0</v>
      </c>
      <c r="CI109" s="126" t="e">
        <f>#REF!</f>
        <v>#REF!</v>
      </c>
      <c r="CJ109" s="127"/>
      <c r="CK109" s="127"/>
      <c r="CL109" s="127"/>
    </row>
    <row r="110" spans="1:90" s="14" customFormat="1" ht="18" customHeight="1" x14ac:dyDescent="0.2">
      <c r="A110" s="91">
        <v>1</v>
      </c>
      <c r="B110" s="214" t="str">
        <f>IF($CA110=0,IF(CB110&lt;&gt;"",CB110,"★サービス確認"),"－")</f>
        <v>－</v>
      </c>
      <c r="C110" s="214"/>
      <c r="D110" s="214"/>
      <c r="E110" s="214"/>
      <c r="F110" s="214"/>
      <c r="G110" s="214"/>
      <c r="H110" s="214"/>
      <c r="I110" s="214"/>
      <c r="J110" s="214"/>
      <c r="K110" s="214"/>
      <c r="L110" s="214"/>
      <c r="M110" s="214"/>
      <c r="N110" s="214"/>
      <c r="O110" s="214"/>
      <c r="P110" s="214"/>
      <c r="Q110" s="215" t="str">
        <f>IF($B110&lt;&gt;"－",IF(ISNUMBER(CC110),TEXT(CC110,"yyyy/mm/dd"),"yyyy/mm/dd"),"－")</f>
        <v>－</v>
      </c>
      <c r="R110" s="215"/>
      <c r="S110" s="215"/>
      <c r="T110" s="215"/>
      <c r="U110" s="68" t="s">
        <v>49</v>
      </c>
      <c r="V110" s="215" t="str">
        <f>IF($B110&lt;&gt;"－",IF(ISNUMBER(CD110),TEXT(CD110,"yyyy/mm/dd"),"yyyy/mm/dd"),"－")</f>
        <v>－</v>
      </c>
      <c r="W110" s="215"/>
      <c r="X110" s="215"/>
      <c r="Y110" s="215"/>
      <c r="Z110" s="216" t="str">
        <f>IF($B110&lt;&gt;"－",IF(CE110="","★要確認",CE110),"－")</f>
        <v>－</v>
      </c>
      <c r="AA110" s="216"/>
      <c r="AB110" s="216"/>
      <c r="AC110" s="241" t="s">
        <v>48</v>
      </c>
      <c r="AD110" s="241"/>
      <c r="AE110" s="256" t="s">
        <v>48</v>
      </c>
      <c r="AF110" s="256"/>
      <c r="AG110" s="256"/>
      <c r="AH110" s="256"/>
      <c r="AI110" s="218" t="str">
        <f>IF($B110&lt;&gt;"－",$CF110,"－")</f>
        <v>－</v>
      </c>
      <c r="AJ110" s="218"/>
      <c r="AK110" s="219"/>
      <c r="AL110" s="15"/>
      <c r="AM110" s="5"/>
      <c r="AN110" s="5"/>
      <c r="AO110" s="5"/>
      <c r="AP110" s="5"/>
      <c r="AQ110" s="5"/>
      <c r="AR110" s="5"/>
      <c r="AS110" s="5"/>
      <c r="AT110" s="5"/>
      <c r="AU110" s="5"/>
      <c r="AV110" s="5"/>
      <c r="AW110" s="5"/>
      <c r="AX110" s="5"/>
      <c r="BY110" s="126" t="e">
        <f>#REF!</f>
        <v>#REF!</v>
      </c>
      <c r="BZ110" s="126" t="s">
        <v>72</v>
      </c>
      <c r="CA110" s="126" t="s">
        <v>102</v>
      </c>
      <c r="CB110" s="126" t="s">
        <v>103</v>
      </c>
      <c r="CC110" s="126">
        <v>0</v>
      </c>
      <c r="CD110" s="126">
        <v>0</v>
      </c>
      <c r="CE110" s="126" t="s">
        <v>63</v>
      </c>
      <c r="CF110" s="126">
        <v>900000</v>
      </c>
      <c r="CG110" s="126">
        <v>0</v>
      </c>
      <c r="CH110" s="126">
        <v>0</v>
      </c>
      <c r="CI110" s="126" t="e">
        <f>#REF!</f>
        <v>#REF!</v>
      </c>
      <c r="CJ110" s="127"/>
      <c r="CK110" s="127"/>
      <c r="CL110" s="127"/>
    </row>
    <row r="111" spans="1:90" s="14" customFormat="1" ht="18" hidden="1" customHeight="1" x14ac:dyDescent="0.2">
      <c r="A111" s="91">
        <v>2</v>
      </c>
      <c r="B111" s="214" t="str">
        <f t="shared" ref="B111:B112" si="9">IF($CA111=0,IF(CB111&lt;&gt;"",CB111,"★サービス確認"),"－")</f>
        <v>－</v>
      </c>
      <c r="C111" s="214"/>
      <c r="D111" s="214"/>
      <c r="E111" s="214"/>
      <c r="F111" s="214"/>
      <c r="G111" s="214"/>
      <c r="H111" s="214"/>
      <c r="I111" s="214"/>
      <c r="J111" s="214"/>
      <c r="K111" s="214"/>
      <c r="L111" s="214"/>
      <c r="M111" s="214"/>
      <c r="N111" s="214"/>
      <c r="O111" s="214"/>
      <c r="P111" s="214"/>
      <c r="Q111" s="215" t="str">
        <f>IF($B111&lt;&gt;"－",IF(ISNUMBER(CC111),TEXT(CC111,"yyyy/mm/dd"),"yyyy/mm/dd"),"－")</f>
        <v>－</v>
      </c>
      <c r="R111" s="215"/>
      <c r="S111" s="215"/>
      <c r="T111" s="215"/>
      <c r="U111" s="68" t="s">
        <v>49</v>
      </c>
      <c r="V111" s="215" t="str">
        <f>IF($B111&lt;&gt;"－",IF(ISNUMBER(CD111),TEXT(CD111,"yyyy/mm/dd"),"yyyy/mm/dd"),"－")</f>
        <v>－</v>
      </c>
      <c r="W111" s="215"/>
      <c r="X111" s="215"/>
      <c r="Y111" s="215"/>
      <c r="Z111" s="216" t="str">
        <f>IF($B111&lt;&gt;"－",IF(CE111="","★要確認",CE111),"－")</f>
        <v>－</v>
      </c>
      <c r="AA111" s="216"/>
      <c r="AB111" s="216"/>
      <c r="AC111" s="241" t="s">
        <v>48</v>
      </c>
      <c r="AD111" s="241"/>
      <c r="AE111" s="256" t="s">
        <v>48</v>
      </c>
      <c r="AF111" s="256"/>
      <c r="AG111" s="256"/>
      <c r="AH111" s="256"/>
      <c r="AI111" s="218" t="str">
        <f>IF($B111&lt;&gt;"－",$CF111,"－")</f>
        <v>－</v>
      </c>
      <c r="AJ111" s="218"/>
      <c r="AK111" s="219"/>
      <c r="AL111" s="15"/>
      <c r="AM111" s="5"/>
      <c r="AN111" s="5"/>
      <c r="AO111" s="5"/>
      <c r="AP111" s="5"/>
      <c r="AQ111" s="5"/>
      <c r="AR111" s="5"/>
      <c r="AS111" s="5"/>
      <c r="AT111" s="5"/>
      <c r="AU111" s="5"/>
      <c r="AV111" s="5"/>
      <c r="AW111" s="5"/>
      <c r="AX111" s="5"/>
      <c r="BY111" s="126" t="e">
        <f>#REF!</f>
        <v>#REF!</v>
      </c>
      <c r="BZ111" s="126" t="s">
        <v>72</v>
      </c>
      <c r="CA111" s="126" t="s">
        <v>47</v>
      </c>
      <c r="CB111" s="126" t="s">
        <v>104</v>
      </c>
      <c r="CC111" s="126">
        <v>0</v>
      </c>
      <c r="CD111" s="126">
        <v>0</v>
      </c>
      <c r="CE111" s="126" t="s">
        <v>63</v>
      </c>
      <c r="CF111" s="126">
        <v>3000000</v>
      </c>
      <c r="CG111" s="126">
        <v>0</v>
      </c>
      <c r="CH111" s="126">
        <v>0</v>
      </c>
      <c r="CI111" s="126" t="e">
        <f>#REF!</f>
        <v>#REF!</v>
      </c>
      <c r="CJ111" s="127"/>
      <c r="CK111" s="127"/>
      <c r="CL111" s="127"/>
    </row>
    <row r="112" spans="1:90" s="14" customFormat="1" ht="18" hidden="1" customHeight="1" x14ac:dyDescent="0.2">
      <c r="A112" s="90">
        <v>3</v>
      </c>
      <c r="B112" s="208" t="str">
        <f t="shared" si="9"/>
        <v>－</v>
      </c>
      <c r="C112" s="208"/>
      <c r="D112" s="208"/>
      <c r="E112" s="208"/>
      <c r="F112" s="208"/>
      <c r="G112" s="208"/>
      <c r="H112" s="208"/>
      <c r="I112" s="208"/>
      <c r="J112" s="208"/>
      <c r="K112" s="208"/>
      <c r="L112" s="208"/>
      <c r="M112" s="208"/>
      <c r="N112" s="208"/>
      <c r="O112" s="208"/>
      <c r="P112" s="208"/>
      <c r="Q112" s="209" t="str">
        <f>IF($B112&lt;&gt;"－",IF(ISNUMBER(CC112),TEXT(CC112,"yyyy/mm/dd"),"yyyy/mm/dd"),"－")</f>
        <v>－</v>
      </c>
      <c r="R112" s="209"/>
      <c r="S112" s="209"/>
      <c r="T112" s="209"/>
      <c r="U112" s="50" t="s">
        <v>49</v>
      </c>
      <c r="V112" s="209" t="str">
        <f>IF($B112&lt;&gt;"－",IF(ISNUMBER(CD112),TEXT(CD112,"yyyy/mm/dd"),"yyyy/mm/dd"),"－")</f>
        <v>－</v>
      </c>
      <c r="W112" s="209"/>
      <c r="X112" s="209"/>
      <c r="Y112" s="209"/>
      <c r="Z112" s="210" t="str">
        <f>IF($B112&lt;&gt;"－",IF(CE112="","★要確認",CE112),"－")</f>
        <v>－</v>
      </c>
      <c r="AA112" s="210"/>
      <c r="AB112" s="210"/>
      <c r="AC112" s="237" t="s">
        <v>48</v>
      </c>
      <c r="AD112" s="237"/>
      <c r="AE112" s="255" t="s">
        <v>48</v>
      </c>
      <c r="AF112" s="255"/>
      <c r="AG112" s="255"/>
      <c r="AH112" s="255"/>
      <c r="AI112" s="212" t="str">
        <f>IF($B112&lt;&gt;"－",$CF112,"－")</f>
        <v>－</v>
      </c>
      <c r="AJ112" s="212"/>
      <c r="AK112" s="213"/>
      <c r="AL112" s="15"/>
      <c r="AM112" s="5"/>
      <c r="AN112" s="5"/>
      <c r="AO112" s="5"/>
      <c r="AP112" s="5"/>
      <c r="AQ112" s="5"/>
      <c r="AR112" s="5"/>
      <c r="AS112" s="5"/>
      <c r="AT112" s="5"/>
      <c r="AU112" s="5"/>
      <c r="AV112" s="5"/>
      <c r="AW112" s="5"/>
      <c r="AX112" s="5"/>
      <c r="BY112" s="126" t="e">
        <f>#REF!</f>
        <v>#REF!</v>
      </c>
      <c r="BZ112" s="126" t="s">
        <v>72</v>
      </c>
      <c r="CA112" s="126" t="s">
        <v>47</v>
      </c>
      <c r="CB112" s="126" t="s">
        <v>105</v>
      </c>
      <c r="CC112" s="126">
        <v>0</v>
      </c>
      <c r="CD112" s="126">
        <v>0</v>
      </c>
      <c r="CE112" s="126" t="s">
        <v>63</v>
      </c>
      <c r="CF112" s="126">
        <v>5000000</v>
      </c>
      <c r="CG112" s="126">
        <v>0</v>
      </c>
      <c r="CH112" s="126">
        <v>0</v>
      </c>
      <c r="CI112" s="126" t="e">
        <f>#REF!</f>
        <v>#REF!</v>
      </c>
      <c r="CJ112" s="127"/>
      <c r="CK112" s="127"/>
      <c r="CL112" s="127"/>
    </row>
    <row r="113" spans="1:90" s="14" customFormat="1" ht="2.1" customHeight="1" x14ac:dyDescent="0.2">
      <c r="A113" s="89"/>
      <c r="B113" s="101"/>
      <c r="C113" s="101"/>
      <c r="D113" s="101"/>
      <c r="E113" s="101"/>
      <c r="F113" s="101"/>
      <c r="G113" s="101"/>
      <c r="H113" s="101"/>
      <c r="I113" s="101"/>
      <c r="J113" s="101"/>
      <c r="K113" s="101"/>
      <c r="L113" s="101"/>
      <c r="M113" s="101"/>
      <c r="N113" s="101"/>
      <c r="O113" s="101"/>
      <c r="P113" s="101"/>
      <c r="Q113" s="66"/>
      <c r="R113" s="66"/>
      <c r="S113" s="66"/>
      <c r="T113" s="66"/>
      <c r="U113" s="93"/>
      <c r="V113" s="66"/>
      <c r="W113" s="66"/>
      <c r="X113" s="66"/>
      <c r="Y113" s="66"/>
      <c r="Z113" s="100"/>
      <c r="AA113" s="100"/>
      <c r="AB113" s="100"/>
      <c r="AC113" s="67"/>
      <c r="AD113" s="67"/>
      <c r="AE113" s="67"/>
      <c r="AF113" s="67"/>
      <c r="AG113" s="67"/>
      <c r="AH113" s="67"/>
      <c r="AI113" s="249"/>
      <c r="AJ113" s="250"/>
      <c r="AK113" s="251"/>
      <c r="AL113" s="15"/>
      <c r="AM113" s="5"/>
      <c r="AN113" s="5"/>
      <c r="AO113" s="5"/>
      <c r="AP113" s="5"/>
      <c r="AQ113" s="5"/>
      <c r="AR113" s="5"/>
      <c r="AS113" s="5"/>
      <c r="AT113" s="5"/>
      <c r="AU113" s="5"/>
      <c r="AV113" s="5"/>
      <c r="AW113" s="5"/>
      <c r="AX113" s="5"/>
      <c r="BY113" s="126" t="e">
        <f>#REF!</f>
        <v>#REF!</v>
      </c>
      <c r="BZ113" s="126">
        <v>0</v>
      </c>
      <c r="CA113" s="126">
        <v>0</v>
      </c>
      <c r="CB113" s="126">
        <v>0</v>
      </c>
      <c r="CC113" s="126">
        <v>0</v>
      </c>
      <c r="CD113" s="126">
        <v>0</v>
      </c>
      <c r="CE113" s="126">
        <v>0</v>
      </c>
      <c r="CF113" s="126">
        <v>0</v>
      </c>
      <c r="CG113" s="126">
        <v>0</v>
      </c>
      <c r="CH113" s="126">
        <v>0</v>
      </c>
      <c r="CI113" s="126" t="e">
        <f>#REF!</f>
        <v>#REF!</v>
      </c>
      <c r="CJ113" s="127"/>
      <c r="CK113" s="127"/>
      <c r="CL113" s="127"/>
    </row>
    <row r="114" spans="1:90" s="47" customFormat="1" ht="18" customHeight="1" x14ac:dyDescent="0.2">
      <c r="A114" s="92"/>
      <c r="B114" s="252" t="str">
        <f>IF($CA114=0,"支払条件　","－")</f>
        <v>－</v>
      </c>
      <c r="C114" s="252"/>
      <c r="D114" s="252"/>
      <c r="E114" s="252"/>
      <c r="F114" s="252"/>
      <c r="G114" s="252"/>
      <c r="H114" s="252"/>
      <c r="I114" s="252"/>
      <c r="J114" s="252"/>
      <c r="K114" s="252"/>
      <c r="L114" s="252"/>
      <c r="M114" s="252"/>
      <c r="N114" s="252"/>
      <c r="O114" s="252"/>
      <c r="P114" s="252"/>
      <c r="Q114" s="253" t="str">
        <f>IF($B114&lt;&gt;"－",CB114,"－")</f>
        <v>－</v>
      </c>
      <c r="R114" s="253"/>
      <c r="S114" s="253"/>
      <c r="T114" s="253"/>
      <c r="U114" s="253"/>
      <c r="V114" s="253"/>
      <c r="W114" s="253"/>
      <c r="X114" s="253"/>
      <c r="Y114" s="253"/>
      <c r="Z114" s="253"/>
      <c r="AA114" s="253"/>
      <c r="AB114" s="253"/>
      <c r="AC114" s="253"/>
      <c r="AD114" s="254"/>
      <c r="AE114" s="194" t="str">
        <f>IF($B114&lt;&gt;"－","金額","－")</f>
        <v>－</v>
      </c>
      <c r="AF114" s="195"/>
      <c r="AG114" s="195"/>
      <c r="AH114" s="195"/>
      <c r="AI114" s="196" t="str">
        <f>IF($B114&lt;&gt;"－",CF114,"－")</f>
        <v>－</v>
      </c>
      <c r="AJ114" s="196"/>
      <c r="AK114" s="197"/>
      <c r="AL114" s="46"/>
      <c r="AM114" s="46"/>
      <c r="AN114" s="46"/>
      <c r="AO114" s="46"/>
      <c r="AP114" s="46"/>
      <c r="BY114" s="126" t="e">
        <f>#REF!</f>
        <v>#REF!</v>
      </c>
      <c r="BZ114" s="126">
        <v>0</v>
      </c>
      <c r="CA114" s="126" t="s">
        <v>102</v>
      </c>
      <c r="CB114" s="126" t="s">
        <v>178</v>
      </c>
      <c r="CC114" s="126">
        <v>0</v>
      </c>
      <c r="CD114" s="126">
        <v>0</v>
      </c>
      <c r="CE114" s="126">
        <v>0</v>
      </c>
      <c r="CF114" s="126">
        <v>900000</v>
      </c>
      <c r="CG114" s="126">
        <v>0</v>
      </c>
      <c r="CH114" s="126">
        <v>0</v>
      </c>
      <c r="CI114" s="126" t="e">
        <f>#REF!</f>
        <v>#REF!</v>
      </c>
      <c r="CJ114" s="136"/>
      <c r="CK114" s="136"/>
      <c r="CL114" s="136"/>
    </row>
    <row r="115" spans="1:90" s="47" customFormat="1" ht="18" hidden="1" customHeight="1" x14ac:dyDescent="0.2">
      <c r="A115" s="104">
        <v>2</v>
      </c>
      <c r="B115" s="243" t="str">
        <f t="shared" ref="B115:B116" si="10">IF($CA115=0,"支払条件　","－")</f>
        <v>－</v>
      </c>
      <c r="C115" s="243"/>
      <c r="D115" s="243"/>
      <c r="E115" s="243"/>
      <c r="F115" s="243"/>
      <c r="G115" s="243"/>
      <c r="H115" s="243"/>
      <c r="I115" s="243"/>
      <c r="J115" s="243"/>
      <c r="K115" s="243"/>
      <c r="L115" s="243"/>
      <c r="M115" s="243"/>
      <c r="N115" s="243"/>
      <c r="O115" s="243"/>
      <c r="P115" s="243"/>
      <c r="Q115" s="244" t="str">
        <f>IF($B115&lt;&gt;"－",CB115,"－")</f>
        <v>－</v>
      </c>
      <c r="R115" s="244"/>
      <c r="S115" s="244"/>
      <c r="T115" s="244"/>
      <c r="U115" s="244"/>
      <c r="V115" s="244"/>
      <c r="W115" s="244"/>
      <c r="X115" s="244"/>
      <c r="Y115" s="244"/>
      <c r="Z115" s="244"/>
      <c r="AA115" s="244"/>
      <c r="AB115" s="244"/>
      <c r="AC115" s="244"/>
      <c r="AD115" s="245"/>
      <c r="AE115" s="233" t="str">
        <f t="shared" ref="AE115:AE116" si="11">IF($B115&lt;&gt;"－","金額","－")</f>
        <v>－</v>
      </c>
      <c r="AF115" s="234"/>
      <c r="AG115" s="234"/>
      <c r="AH115" s="234"/>
      <c r="AI115" s="235" t="str">
        <f>IF($B115&lt;&gt;"－",CF115,"－")</f>
        <v>－</v>
      </c>
      <c r="AJ115" s="235"/>
      <c r="AK115" s="236"/>
      <c r="AL115" s="46"/>
      <c r="AM115" s="46"/>
      <c r="AN115" s="46"/>
      <c r="AO115" s="46"/>
      <c r="AP115" s="46"/>
      <c r="BY115" s="126" t="e">
        <f>#REF!</f>
        <v>#REF!</v>
      </c>
      <c r="BZ115" s="126">
        <v>0</v>
      </c>
      <c r="CA115" s="126" t="s">
        <v>47</v>
      </c>
      <c r="CB115" s="126" t="s">
        <v>178</v>
      </c>
      <c r="CC115" s="126">
        <v>0</v>
      </c>
      <c r="CD115" s="126">
        <v>0</v>
      </c>
      <c r="CE115" s="126">
        <v>0</v>
      </c>
      <c r="CF115" s="126">
        <v>3000000</v>
      </c>
      <c r="CG115" s="126">
        <v>0</v>
      </c>
      <c r="CH115" s="126">
        <v>0</v>
      </c>
      <c r="CI115" s="126" t="e">
        <f>#REF!</f>
        <v>#REF!</v>
      </c>
      <c r="CJ115" s="136"/>
      <c r="CK115" s="136"/>
      <c r="CL115" s="136"/>
    </row>
    <row r="116" spans="1:90" s="47" customFormat="1" ht="18" hidden="1" customHeight="1" x14ac:dyDescent="0.2">
      <c r="A116" s="88">
        <v>3</v>
      </c>
      <c r="B116" s="246" t="str">
        <f t="shared" si="10"/>
        <v>－</v>
      </c>
      <c r="C116" s="246"/>
      <c r="D116" s="246"/>
      <c r="E116" s="246"/>
      <c r="F116" s="246"/>
      <c r="G116" s="246"/>
      <c r="H116" s="246"/>
      <c r="I116" s="246"/>
      <c r="J116" s="246"/>
      <c r="K116" s="246"/>
      <c r="L116" s="246"/>
      <c r="M116" s="246"/>
      <c r="N116" s="246"/>
      <c r="O116" s="246"/>
      <c r="P116" s="246"/>
      <c r="Q116" s="247" t="str">
        <f>IF($B116&lt;&gt;"－",CB116,"－")</f>
        <v>－</v>
      </c>
      <c r="R116" s="247"/>
      <c r="S116" s="247"/>
      <c r="T116" s="247"/>
      <c r="U116" s="247"/>
      <c r="V116" s="247"/>
      <c r="W116" s="247"/>
      <c r="X116" s="247"/>
      <c r="Y116" s="247"/>
      <c r="Z116" s="247"/>
      <c r="AA116" s="247"/>
      <c r="AB116" s="247"/>
      <c r="AC116" s="247"/>
      <c r="AD116" s="248"/>
      <c r="AE116" s="202" t="str">
        <f t="shared" si="11"/>
        <v>－</v>
      </c>
      <c r="AF116" s="203"/>
      <c r="AG116" s="203"/>
      <c r="AH116" s="203"/>
      <c r="AI116" s="204" t="str">
        <f>IF($B116&lt;&gt;"－",CF116,"－")</f>
        <v>－</v>
      </c>
      <c r="AJ116" s="204"/>
      <c r="AK116" s="205"/>
      <c r="AL116" s="46"/>
      <c r="AM116" s="46"/>
      <c r="AN116" s="46"/>
      <c r="AO116" s="46"/>
      <c r="AP116" s="46"/>
      <c r="BY116" s="126" t="e">
        <f>#REF!</f>
        <v>#REF!</v>
      </c>
      <c r="BZ116" s="126">
        <v>0</v>
      </c>
      <c r="CA116" s="126" t="s">
        <v>47</v>
      </c>
      <c r="CB116" s="126" t="s">
        <v>178</v>
      </c>
      <c r="CC116" s="126">
        <v>0</v>
      </c>
      <c r="CD116" s="126">
        <v>0</v>
      </c>
      <c r="CE116" s="126">
        <v>0</v>
      </c>
      <c r="CF116" s="126">
        <v>5000000</v>
      </c>
      <c r="CG116" s="126">
        <v>0</v>
      </c>
      <c r="CH116" s="126">
        <v>0</v>
      </c>
      <c r="CI116" s="126" t="e">
        <f>#REF!</f>
        <v>#REF!</v>
      </c>
      <c r="CJ116" s="136"/>
      <c r="CK116" s="136"/>
      <c r="CL116" s="136"/>
    </row>
    <row r="117" spans="1:90" s="14" customFormat="1" ht="15" hidden="1" customHeight="1" x14ac:dyDescent="0.2">
      <c r="A117" s="116"/>
      <c r="B117" s="116"/>
      <c r="C117" s="116"/>
      <c r="D117" s="116"/>
      <c r="E117" s="116"/>
      <c r="F117" s="116"/>
      <c r="G117" s="116"/>
      <c r="H117" s="116"/>
      <c r="I117" s="116"/>
      <c r="J117" s="116"/>
      <c r="K117" s="116"/>
      <c r="L117" s="116"/>
      <c r="M117" s="116"/>
      <c r="N117" s="116"/>
      <c r="O117" s="116"/>
      <c r="P117" s="116"/>
      <c r="Q117" s="181"/>
      <c r="R117" s="116"/>
      <c r="S117" s="116"/>
      <c r="T117" s="116"/>
      <c r="U117" s="117"/>
      <c r="V117" s="118"/>
      <c r="W117" s="118"/>
      <c r="X117" s="118"/>
      <c r="Y117" s="118"/>
      <c r="Z117" s="118"/>
      <c r="AA117" s="118"/>
      <c r="AB117" s="118"/>
      <c r="AC117" s="118"/>
      <c r="AD117" s="118"/>
      <c r="AE117" s="118"/>
      <c r="AF117" s="118"/>
      <c r="AG117" s="118"/>
      <c r="AH117" s="118"/>
      <c r="AI117" s="118"/>
      <c r="AJ117" s="118"/>
      <c r="AK117" s="117"/>
      <c r="BY117" s="126" t="e">
        <f>#REF!</f>
        <v>#REF!</v>
      </c>
      <c r="BZ117" s="126">
        <v>0</v>
      </c>
      <c r="CA117" s="126" t="s">
        <v>47</v>
      </c>
      <c r="CB117" s="126">
        <v>0</v>
      </c>
      <c r="CC117" s="126">
        <v>0</v>
      </c>
      <c r="CD117" s="126">
        <v>0</v>
      </c>
      <c r="CE117" s="126">
        <v>0</v>
      </c>
      <c r="CF117" s="126">
        <v>0</v>
      </c>
      <c r="CG117" s="126">
        <v>0</v>
      </c>
      <c r="CH117" s="126">
        <v>0</v>
      </c>
      <c r="CI117" s="126" t="e">
        <f>#REF!</f>
        <v>#REF!</v>
      </c>
      <c r="CJ117" s="127"/>
      <c r="CK117" s="127"/>
      <c r="CL117" s="127"/>
    </row>
    <row r="118" spans="1:90" s="14" customFormat="1" ht="18" hidden="1" customHeight="1" x14ac:dyDescent="0.2">
      <c r="A118" s="87" t="s">
        <v>5</v>
      </c>
      <c r="B118" s="222" t="s">
        <v>57</v>
      </c>
      <c r="C118" s="222"/>
      <c r="D118" s="222"/>
      <c r="E118" s="222"/>
      <c r="F118" s="222"/>
      <c r="G118" s="222"/>
      <c r="H118" s="222"/>
      <c r="I118" s="222"/>
      <c r="J118" s="222"/>
      <c r="K118" s="222"/>
      <c r="L118" s="222"/>
      <c r="M118" s="222"/>
      <c r="N118" s="222"/>
      <c r="O118" s="222"/>
      <c r="P118" s="222"/>
      <c r="Q118" s="223" t="s">
        <v>58</v>
      </c>
      <c r="R118" s="223"/>
      <c r="S118" s="223"/>
      <c r="T118" s="223"/>
      <c r="U118" s="223"/>
      <c r="V118" s="223"/>
      <c r="W118" s="223"/>
      <c r="X118" s="223"/>
      <c r="Y118" s="223"/>
      <c r="Z118" s="224" t="s">
        <v>26</v>
      </c>
      <c r="AA118" s="224"/>
      <c r="AB118" s="224"/>
      <c r="AC118" s="224" t="s">
        <v>48</v>
      </c>
      <c r="AD118" s="224"/>
      <c r="AE118" s="224" t="s">
        <v>56</v>
      </c>
      <c r="AF118" s="224"/>
      <c r="AG118" s="224"/>
      <c r="AH118" s="224"/>
      <c r="AI118" s="222" t="s">
        <v>9</v>
      </c>
      <c r="AJ118" s="222"/>
      <c r="AK118" s="227"/>
      <c r="AL118" s="15"/>
      <c r="AM118" s="5"/>
      <c r="AN118" s="5"/>
      <c r="AO118" s="5"/>
      <c r="AP118" s="5"/>
      <c r="AQ118" s="5"/>
      <c r="AR118" s="5"/>
      <c r="AS118" s="5"/>
      <c r="AT118" s="5"/>
      <c r="AU118" s="5"/>
      <c r="AV118" s="5"/>
      <c r="AW118" s="5"/>
      <c r="AX118" s="5"/>
      <c r="BY118" s="126" t="e">
        <f>#REF!</f>
        <v>#REF!</v>
      </c>
      <c r="BZ118" s="126">
        <v>0</v>
      </c>
      <c r="CA118" s="126" t="s">
        <v>47</v>
      </c>
      <c r="CB118" s="126">
        <v>0</v>
      </c>
      <c r="CC118" s="126">
        <v>0</v>
      </c>
      <c r="CD118" s="126">
        <v>0</v>
      </c>
      <c r="CE118" s="126">
        <v>0</v>
      </c>
      <c r="CF118" s="126">
        <v>0</v>
      </c>
      <c r="CG118" s="126">
        <v>0</v>
      </c>
      <c r="CH118" s="126">
        <v>0</v>
      </c>
      <c r="CI118" s="126" t="e">
        <f>#REF!</f>
        <v>#REF!</v>
      </c>
      <c r="CJ118" s="127"/>
      <c r="CK118" s="127"/>
      <c r="CL118" s="127"/>
    </row>
    <row r="119" spans="1:90" s="14" customFormat="1" ht="18" hidden="1" customHeight="1" x14ac:dyDescent="0.2">
      <c r="A119" s="91">
        <v>1</v>
      </c>
      <c r="B119" s="214" t="str">
        <f t="shared" ref="B119:B121" si="12">IF($CA119=0,IF(CB119&lt;&gt;"",CB119,"★サービス確認"),"－")</f>
        <v>－</v>
      </c>
      <c r="C119" s="214"/>
      <c r="D119" s="214"/>
      <c r="E119" s="214"/>
      <c r="F119" s="214"/>
      <c r="G119" s="214"/>
      <c r="H119" s="214"/>
      <c r="I119" s="214"/>
      <c r="J119" s="214"/>
      <c r="K119" s="214"/>
      <c r="L119" s="214"/>
      <c r="M119" s="214"/>
      <c r="N119" s="214"/>
      <c r="O119" s="214"/>
      <c r="P119" s="214"/>
      <c r="Q119" s="215" t="str">
        <f>IF($B119&lt;&gt;"－",IF(ISNUMBER(CC119),TEXT(CC119,"yyyy/mm/dd"),"yyyy/mm/dd"),"－")</f>
        <v>－</v>
      </c>
      <c r="R119" s="215"/>
      <c r="S119" s="215"/>
      <c r="T119" s="215"/>
      <c r="U119" s="68" t="s">
        <v>49</v>
      </c>
      <c r="V119" s="215" t="str">
        <f>IF($B119&lt;&gt;"－",IF(ISNUMBER(CD119),TEXT(CD119,"yyyy/mm/dd"),"yyyy/mm/dd"),"－")</f>
        <v>－</v>
      </c>
      <c r="W119" s="215"/>
      <c r="X119" s="215"/>
      <c r="Y119" s="215"/>
      <c r="Z119" s="216" t="str">
        <f>IF($B119&lt;&gt;"－",IF(CE119="","★要確認",CE119),"－")</f>
        <v>－</v>
      </c>
      <c r="AA119" s="216"/>
      <c r="AB119" s="216"/>
      <c r="AC119" s="241" t="s">
        <v>48</v>
      </c>
      <c r="AD119" s="241"/>
      <c r="AE119" s="242" t="s">
        <v>48</v>
      </c>
      <c r="AF119" s="242"/>
      <c r="AG119" s="242"/>
      <c r="AH119" s="242"/>
      <c r="AI119" s="239" t="str">
        <f>IF($B119&lt;&gt;"－",$CF119,"－")</f>
        <v>－</v>
      </c>
      <c r="AJ119" s="239"/>
      <c r="AK119" s="240"/>
      <c r="AL119" s="15"/>
      <c r="AM119" s="5"/>
      <c r="AN119" s="5"/>
      <c r="AO119" s="5"/>
      <c r="AP119" s="5"/>
      <c r="AQ119" s="5"/>
      <c r="AR119" s="5"/>
      <c r="AS119" s="5"/>
      <c r="AT119" s="5"/>
      <c r="AU119" s="5"/>
      <c r="AV119" s="5"/>
      <c r="AW119" s="5"/>
      <c r="AX119" s="5"/>
      <c r="BY119" s="126" t="e">
        <f>#REF!</f>
        <v>#REF!</v>
      </c>
      <c r="BZ119" s="126" t="s">
        <v>72</v>
      </c>
      <c r="CA119" s="126" t="s">
        <v>47</v>
      </c>
      <c r="CB119" s="126" t="s">
        <v>255</v>
      </c>
      <c r="CC119" s="126">
        <v>0</v>
      </c>
      <c r="CD119" s="126">
        <v>0</v>
      </c>
      <c r="CE119" s="126" t="s">
        <v>63</v>
      </c>
      <c r="CF119" s="126">
        <v>300000</v>
      </c>
      <c r="CG119" s="126">
        <v>0</v>
      </c>
      <c r="CH119" s="126">
        <v>0</v>
      </c>
      <c r="CI119" s="126" t="e">
        <f>#REF!</f>
        <v>#REF!</v>
      </c>
      <c r="CJ119" s="127"/>
      <c r="CK119" s="127"/>
      <c r="CL119" s="127"/>
    </row>
    <row r="120" spans="1:90" s="14" customFormat="1" ht="18" hidden="1" customHeight="1" x14ac:dyDescent="0.2">
      <c r="A120" s="91">
        <v>2</v>
      </c>
      <c r="B120" s="214" t="str">
        <f t="shared" si="12"/>
        <v>－</v>
      </c>
      <c r="C120" s="214"/>
      <c r="D120" s="214"/>
      <c r="E120" s="214"/>
      <c r="F120" s="214"/>
      <c r="G120" s="214"/>
      <c r="H120" s="214"/>
      <c r="I120" s="214"/>
      <c r="J120" s="214"/>
      <c r="K120" s="214"/>
      <c r="L120" s="214"/>
      <c r="M120" s="214"/>
      <c r="N120" s="214"/>
      <c r="O120" s="214"/>
      <c r="P120" s="214"/>
      <c r="Q120" s="215" t="str">
        <f>IF($B120&lt;&gt;"－",IF(ISNUMBER(CC120),TEXT(CC120,"yyyy/mm/dd"),"yyyy/mm/dd"),"－")</f>
        <v>－</v>
      </c>
      <c r="R120" s="215"/>
      <c r="S120" s="215"/>
      <c r="T120" s="215"/>
      <c r="U120" s="68" t="s">
        <v>49</v>
      </c>
      <c r="V120" s="215" t="str">
        <f>IF($B120&lt;&gt;"－",IF(ISNUMBER(CD120),TEXT(CD120,"yyyy/mm/dd"),"yyyy/mm/dd"),"－")</f>
        <v>－</v>
      </c>
      <c r="W120" s="215"/>
      <c r="X120" s="215"/>
      <c r="Y120" s="215"/>
      <c r="Z120" s="216" t="str">
        <f>IF($B120&lt;&gt;"－",IF(CE120="","★要確認",CE120),"－")</f>
        <v>－</v>
      </c>
      <c r="AA120" s="216"/>
      <c r="AB120" s="216"/>
      <c r="AC120" s="241" t="s">
        <v>48</v>
      </c>
      <c r="AD120" s="241"/>
      <c r="AE120" s="242" t="s">
        <v>48</v>
      </c>
      <c r="AF120" s="242"/>
      <c r="AG120" s="242"/>
      <c r="AH120" s="242"/>
      <c r="AI120" s="239" t="str">
        <f>IF($B120&lt;&gt;"－",$CF120,"－")</f>
        <v>－</v>
      </c>
      <c r="AJ120" s="239"/>
      <c r="AK120" s="240"/>
      <c r="AL120" s="15"/>
      <c r="AM120" s="5"/>
      <c r="AN120" s="5"/>
      <c r="AO120" s="5"/>
      <c r="AP120" s="5"/>
      <c r="AQ120" s="5"/>
      <c r="AR120" s="5"/>
      <c r="AS120" s="5"/>
      <c r="AT120" s="5"/>
      <c r="AU120" s="5"/>
      <c r="AV120" s="5"/>
      <c r="AW120" s="5"/>
      <c r="AX120" s="5"/>
      <c r="BY120" s="126" t="e">
        <f>#REF!</f>
        <v>#REF!</v>
      </c>
      <c r="BZ120" s="126" t="s">
        <v>72</v>
      </c>
      <c r="CA120" s="126" t="s">
        <v>47</v>
      </c>
      <c r="CB120" s="126">
        <v>0</v>
      </c>
      <c r="CC120" s="126">
        <v>0</v>
      </c>
      <c r="CD120" s="126">
        <v>0</v>
      </c>
      <c r="CE120" s="126" t="s">
        <v>63</v>
      </c>
      <c r="CF120" s="126">
        <v>4000000</v>
      </c>
      <c r="CG120" s="126" t="s">
        <v>256</v>
      </c>
      <c r="CH120" s="126">
        <v>0</v>
      </c>
      <c r="CI120" s="126" t="e">
        <f>#REF!</f>
        <v>#REF!</v>
      </c>
      <c r="CJ120" s="127"/>
      <c r="CK120" s="127"/>
      <c r="CL120" s="127"/>
    </row>
    <row r="121" spans="1:90" s="14" customFormat="1" ht="18" hidden="1" customHeight="1" x14ac:dyDescent="0.2">
      <c r="A121" s="90"/>
      <c r="B121" s="208" t="str">
        <f t="shared" si="12"/>
        <v>－</v>
      </c>
      <c r="C121" s="208"/>
      <c r="D121" s="208"/>
      <c r="E121" s="208"/>
      <c r="F121" s="208"/>
      <c r="G121" s="208"/>
      <c r="H121" s="208"/>
      <c r="I121" s="208"/>
      <c r="J121" s="208"/>
      <c r="K121" s="208"/>
      <c r="L121" s="208"/>
      <c r="M121" s="208"/>
      <c r="N121" s="208"/>
      <c r="O121" s="208"/>
      <c r="P121" s="208"/>
      <c r="Q121" s="209" t="str">
        <f>IF($B121&lt;&gt;"－",IF(ISNUMBER(CC121),TEXT(CC121,"yyyy/mm/dd"),"yyyy/mm/dd"),"－")</f>
        <v>－</v>
      </c>
      <c r="R121" s="209"/>
      <c r="S121" s="209"/>
      <c r="T121" s="209"/>
      <c r="U121" s="50" t="s">
        <v>49</v>
      </c>
      <c r="V121" s="209" t="str">
        <f>IF($B121&lt;&gt;"－",IF(ISNUMBER(CD121),TEXT(CD121,"yyyy/mm/dd"),"yyyy/mm/dd"),"－")</f>
        <v>－</v>
      </c>
      <c r="W121" s="209"/>
      <c r="X121" s="209"/>
      <c r="Y121" s="209"/>
      <c r="Z121" s="210" t="str">
        <f>IF($B121&lt;&gt;"－",IF(CE121="","★要確認",CE121),"－")</f>
        <v>－</v>
      </c>
      <c r="AA121" s="210"/>
      <c r="AB121" s="210"/>
      <c r="AC121" s="237" t="s">
        <v>48</v>
      </c>
      <c r="AD121" s="237"/>
      <c r="AE121" s="238" t="s">
        <v>48</v>
      </c>
      <c r="AF121" s="238"/>
      <c r="AG121" s="238"/>
      <c r="AH121" s="238"/>
      <c r="AI121" s="228" t="str">
        <f>IF($B121&lt;&gt;"－",$CF121,"－")</f>
        <v>－</v>
      </c>
      <c r="AJ121" s="228"/>
      <c r="AK121" s="229"/>
      <c r="AL121" s="15"/>
      <c r="AM121" s="5"/>
      <c r="AN121" s="5"/>
      <c r="AO121" s="5"/>
      <c r="AP121" s="5"/>
      <c r="AQ121" s="5"/>
      <c r="AR121" s="5"/>
      <c r="AS121" s="5"/>
      <c r="AT121" s="5"/>
      <c r="AU121" s="5"/>
      <c r="AV121" s="5"/>
      <c r="AW121" s="5"/>
      <c r="AX121" s="5"/>
      <c r="BY121" s="126" t="e">
        <f>#REF!</f>
        <v>#REF!</v>
      </c>
      <c r="BZ121" s="126" t="s">
        <v>72</v>
      </c>
      <c r="CA121" s="126" t="s">
        <v>47</v>
      </c>
      <c r="CB121" s="126" t="s">
        <v>255</v>
      </c>
      <c r="CC121" s="126">
        <v>0</v>
      </c>
      <c r="CD121" s="126">
        <v>0</v>
      </c>
      <c r="CE121" s="126" t="s">
        <v>63</v>
      </c>
      <c r="CF121" s="126">
        <v>12000000</v>
      </c>
      <c r="CG121" s="126">
        <v>12</v>
      </c>
      <c r="CH121" s="126">
        <v>0</v>
      </c>
      <c r="CI121" s="126" t="e">
        <f>#REF!</f>
        <v>#REF!</v>
      </c>
      <c r="CJ121" s="127"/>
      <c r="CK121" s="127"/>
      <c r="CL121" s="127"/>
    </row>
    <row r="122" spans="1:90" s="14" customFormat="1" ht="2.1" hidden="1" customHeight="1" x14ac:dyDescent="0.2">
      <c r="A122" s="103"/>
      <c r="B122" s="101"/>
      <c r="C122" s="101"/>
      <c r="D122" s="101"/>
      <c r="E122" s="101"/>
      <c r="F122" s="101"/>
      <c r="G122" s="101"/>
      <c r="H122" s="101"/>
      <c r="I122" s="101"/>
      <c r="J122" s="101"/>
      <c r="K122" s="101"/>
      <c r="L122" s="101"/>
      <c r="M122" s="101"/>
      <c r="N122" s="101"/>
      <c r="O122" s="101"/>
      <c r="P122" s="101"/>
      <c r="Q122" s="66"/>
      <c r="R122" s="66"/>
      <c r="S122" s="66"/>
      <c r="T122" s="66"/>
      <c r="U122" s="93"/>
      <c r="V122" s="66"/>
      <c r="W122" s="66"/>
      <c r="X122" s="66"/>
      <c r="Y122" s="66"/>
      <c r="Z122" s="100"/>
      <c r="AA122" s="100"/>
      <c r="AB122" s="100"/>
      <c r="AC122" s="67"/>
      <c r="AD122" s="67"/>
      <c r="AE122" s="67"/>
      <c r="AF122" s="67"/>
      <c r="AG122" s="67"/>
      <c r="AH122" s="67"/>
      <c r="AI122" s="94"/>
      <c r="AJ122" s="94"/>
      <c r="AK122" s="95"/>
      <c r="AL122" s="15"/>
      <c r="AM122" s="5"/>
      <c r="AN122" s="5"/>
      <c r="AO122" s="5"/>
      <c r="AP122" s="5"/>
      <c r="AQ122" s="5"/>
      <c r="AR122" s="5"/>
      <c r="AS122" s="5"/>
      <c r="AT122" s="5"/>
      <c r="AU122" s="5"/>
      <c r="AV122" s="5"/>
      <c r="AW122" s="5"/>
      <c r="AX122" s="5"/>
      <c r="BY122" s="126" t="e">
        <f>#REF!</f>
        <v>#REF!</v>
      </c>
      <c r="BZ122" s="126">
        <v>0</v>
      </c>
      <c r="CA122" s="126" t="s">
        <v>47</v>
      </c>
      <c r="CB122" s="126">
        <v>0</v>
      </c>
      <c r="CC122" s="126">
        <v>0</v>
      </c>
      <c r="CD122" s="126">
        <v>0</v>
      </c>
      <c r="CE122" s="126">
        <v>0</v>
      </c>
      <c r="CF122" s="126">
        <v>0</v>
      </c>
      <c r="CG122" s="126">
        <v>0</v>
      </c>
      <c r="CH122" s="126">
        <v>0</v>
      </c>
      <c r="CI122" s="126" t="e">
        <f>#REF!</f>
        <v>#REF!</v>
      </c>
      <c r="CJ122" s="127"/>
      <c r="CK122" s="127"/>
      <c r="CL122" s="127"/>
    </row>
    <row r="123" spans="1:90" s="47" customFormat="1" ht="18" hidden="1" customHeight="1" x14ac:dyDescent="0.2">
      <c r="A123" s="92"/>
      <c r="B123" s="190" t="str">
        <f>IF($CA123=0,"支払条件　","－")</f>
        <v>－</v>
      </c>
      <c r="C123" s="190"/>
      <c r="D123" s="190"/>
      <c r="E123" s="190"/>
      <c r="F123" s="190"/>
      <c r="G123" s="190"/>
      <c r="H123" s="190"/>
      <c r="I123" s="190"/>
      <c r="J123" s="190"/>
      <c r="K123" s="190"/>
      <c r="L123" s="190"/>
      <c r="M123" s="190"/>
      <c r="N123" s="190"/>
      <c r="O123" s="190"/>
      <c r="P123" s="190"/>
      <c r="Q123" s="192" t="str">
        <f>IF($B123&lt;&gt;"－",CB123,"－")</f>
        <v>－</v>
      </c>
      <c r="R123" s="192"/>
      <c r="S123" s="192"/>
      <c r="T123" s="192"/>
      <c r="U123" s="192"/>
      <c r="V123" s="192"/>
      <c r="W123" s="192"/>
      <c r="X123" s="192"/>
      <c r="Y123" s="192"/>
      <c r="Z123" s="192"/>
      <c r="AA123" s="192"/>
      <c r="AB123" s="192"/>
      <c r="AC123" s="192"/>
      <c r="AD123" s="193"/>
      <c r="AE123" s="194" t="str">
        <f>IF($B123&lt;&gt;"－","金額","－")</f>
        <v>－</v>
      </c>
      <c r="AF123" s="195"/>
      <c r="AG123" s="195"/>
      <c r="AH123" s="195"/>
      <c r="AI123" s="196" t="str">
        <f>IF($B123&lt;&gt;"－",CF123,"－")</f>
        <v>－</v>
      </c>
      <c r="AJ123" s="196"/>
      <c r="AK123" s="197"/>
      <c r="AL123" s="46"/>
      <c r="AM123" s="46"/>
      <c r="AN123" s="46"/>
      <c r="AO123" s="46"/>
      <c r="AP123" s="46"/>
      <c r="BY123" s="126" t="e">
        <f>#REF!</f>
        <v>#REF!</v>
      </c>
      <c r="BZ123" s="126">
        <v>0</v>
      </c>
      <c r="CA123" s="126" t="s">
        <v>47</v>
      </c>
      <c r="CB123" s="126" t="s">
        <v>178</v>
      </c>
      <c r="CC123" s="126">
        <v>0</v>
      </c>
      <c r="CD123" s="126">
        <v>0</v>
      </c>
      <c r="CE123" s="126">
        <v>0</v>
      </c>
      <c r="CF123" s="126">
        <v>300000</v>
      </c>
      <c r="CG123" s="126">
        <v>0</v>
      </c>
      <c r="CH123" s="126">
        <v>0</v>
      </c>
      <c r="CI123" s="126" t="e">
        <f>#REF!</f>
        <v>#REF!</v>
      </c>
      <c r="CJ123" s="136"/>
      <c r="CK123" s="136"/>
      <c r="CL123" s="136"/>
    </row>
    <row r="124" spans="1:90" s="47" customFormat="1" ht="18" hidden="1" customHeight="1" x14ac:dyDescent="0.2">
      <c r="A124" s="104">
        <v>2</v>
      </c>
      <c r="B124" s="230" t="str">
        <f t="shared" ref="B124:B125" si="13">IF($CA124=0,"支払条件　","－")</f>
        <v>－</v>
      </c>
      <c r="C124" s="230"/>
      <c r="D124" s="230"/>
      <c r="E124" s="230"/>
      <c r="F124" s="230"/>
      <c r="G124" s="230"/>
      <c r="H124" s="230"/>
      <c r="I124" s="230"/>
      <c r="J124" s="230"/>
      <c r="K124" s="230"/>
      <c r="L124" s="230"/>
      <c r="M124" s="230"/>
      <c r="N124" s="230"/>
      <c r="O124" s="230"/>
      <c r="P124" s="230"/>
      <c r="Q124" s="231" t="str">
        <f>IF($B124&lt;&gt;"－",CB124,"－")</f>
        <v>－</v>
      </c>
      <c r="R124" s="231"/>
      <c r="S124" s="231"/>
      <c r="T124" s="231"/>
      <c r="U124" s="231"/>
      <c r="V124" s="231"/>
      <c r="W124" s="231"/>
      <c r="X124" s="231"/>
      <c r="Y124" s="231"/>
      <c r="Z124" s="231"/>
      <c r="AA124" s="231"/>
      <c r="AB124" s="231"/>
      <c r="AC124" s="231"/>
      <c r="AD124" s="232"/>
      <c r="AE124" s="233" t="str">
        <f>IF($B124&lt;&gt;"－","金額","－")</f>
        <v>－</v>
      </c>
      <c r="AF124" s="234"/>
      <c r="AG124" s="234"/>
      <c r="AH124" s="234"/>
      <c r="AI124" s="235" t="str">
        <f>IF($B124&lt;&gt;"－",CF124,"－")</f>
        <v>－</v>
      </c>
      <c r="AJ124" s="235"/>
      <c r="AK124" s="236"/>
      <c r="AL124" s="46"/>
      <c r="AM124" s="46"/>
      <c r="AN124" s="46"/>
      <c r="AO124" s="46"/>
      <c r="AP124" s="46"/>
      <c r="BY124" s="126" t="e">
        <f>#REF!</f>
        <v>#REF!</v>
      </c>
      <c r="BZ124" s="126">
        <v>0</v>
      </c>
      <c r="CA124" s="126" t="s">
        <v>47</v>
      </c>
      <c r="CB124" s="126" t="s">
        <v>178</v>
      </c>
      <c r="CC124" s="126">
        <v>0</v>
      </c>
      <c r="CD124" s="126">
        <v>0</v>
      </c>
      <c r="CE124" s="126">
        <v>0</v>
      </c>
      <c r="CF124" s="126">
        <v>4000000</v>
      </c>
      <c r="CG124" s="126" t="s">
        <v>257</v>
      </c>
      <c r="CH124" s="126">
        <v>0</v>
      </c>
      <c r="CI124" s="126" t="e">
        <f>#REF!</f>
        <v>#REF!</v>
      </c>
      <c r="CJ124" s="136"/>
      <c r="CK124" s="136"/>
      <c r="CL124" s="136"/>
    </row>
    <row r="125" spans="1:90" s="47" customFormat="1" ht="18" hidden="1" customHeight="1" x14ac:dyDescent="0.2">
      <c r="A125" s="88"/>
      <c r="B125" s="198" t="str">
        <f t="shared" si="13"/>
        <v>－</v>
      </c>
      <c r="C125" s="198"/>
      <c r="D125" s="198"/>
      <c r="E125" s="198"/>
      <c r="F125" s="198"/>
      <c r="G125" s="198"/>
      <c r="H125" s="198"/>
      <c r="I125" s="198"/>
      <c r="J125" s="198"/>
      <c r="K125" s="198"/>
      <c r="L125" s="198"/>
      <c r="M125" s="198"/>
      <c r="N125" s="198"/>
      <c r="O125" s="198"/>
      <c r="P125" s="198"/>
      <c r="Q125" s="220" t="str">
        <f>IF($B125&lt;&gt;"－",CB125,"－")</f>
        <v>－</v>
      </c>
      <c r="R125" s="220"/>
      <c r="S125" s="220"/>
      <c r="T125" s="220"/>
      <c r="U125" s="220"/>
      <c r="V125" s="220"/>
      <c r="W125" s="220"/>
      <c r="X125" s="220"/>
      <c r="Y125" s="220"/>
      <c r="Z125" s="220"/>
      <c r="AA125" s="220"/>
      <c r="AB125" s="220"/>
      <c r="AC125" s="220"/>
      <c r="AD125" s="221"/>
      <c r="AE125" s="202" t="str">
        <f>IF($B125&lt;&gt;"－","年額","－")</f>
        <v>－</v>
      </c>
      <c r="AF125" s="203"/>
      <c r="AG125" s="203"/>
      <c r="AH125" s="203"/>
      <c r="AI125" s="204" t="str">
        <f>IF($B125&lt;&gt;"－",CF125,"－")</f>
        <v>－</v>
      </c>
      <c r="AJ125" s="204"/>
      <c r="AK125" s="205"/>
      <c r="AL125" s="46"/>
      <c r="AM125" s="46"/>
      <c r="AN125" s="46"/>
      <c r="AO125" s="46"/>
      <c r="AP125" s="46"/>
      <c r="BY125" s="126" t="e">
        <f>#REF!</f>
        <v>#REF!</v>
      </c>
      <c r="BZ125" s="126">
        <v>0</v>
      </c>
      <c r="CA125" s="126" t="s">
        <v>47</v>
      </c>
      <c r="CB125" s="126" t="s">
        <v>258</v>
      </c>
      <c r="CC125" s="126">
        <v>0</v>
      </c>
      <c r="CD125" s="126">
        <v>0</v>
      </c>
      <c r="CE125" s="126">
        <v>0</v>
      </c>
      <c r="CF125" s="126">
        <v>12000000</v>
      </c>
      <c r="CG125" s="126">
        <v>1000000</v>
      </c>
      <c r="CH125" s="126">
        <v>0</v>
      </c>
      <c r="CI125" s="126" t="e">
        <f>#REF!</f>
        <v>#REF!</v>
      </c>
      <c r="CJ125" s="136"/>
      <c r="CK125" s="136"/>
      <c r="CL125" s="136"/>
    </row>
    <row r="126" spans="1:90" s="14" customFormat="1" ht="15" hidden="1" customHeight="1" x14ac:dyDescent="0.2">
      <c r="A126" s="116"/>
      <c r="B126" s="116"/>
      <c r="C126" s="116"/>
      <c r="D126" s="116"/>
      <c r="E126" s="116"/>
      <c r="F126" s="116"/>
      <c r="G126" s="116"/>
      <c r="H126" s="116"/>
      <c r="I126" s="116"/>
      <c r="J126" s="116"/>
      <c r="K126" s="116"/>
      <c r="L126" s="116"/>
      <c r="M126" s="116"/>
      <c r="N126" s="116"/>
      <c r="O126" s="116"/>
      <c r="P126" s="116"/>
      <c r="Q126" s="116"/>
      <c r="R126" s="116"/>
      <c r="S126" s="116"/>
      <c r="T126" s="116"/>
      <c r="U126" s="117"/>
      <c r="V126" s="118"/>
      <c r="W126" s="118"/>
      <c r="X126" s="118"/>
      <c r="Y126" s="118"/>
      <c r="Z126" s="118"/>
      <c r="AA126" s="118"/>
      <c r="AB126" s="118"/>
      <c r="AC126" s="118"/>
      <c r="AD126" s="118"/>
      <c r="AE126" s="118"/>
      <c r="AF126" s="118"/>
      <c r="AG126" s="118"/>
      <c r="AH126" s="118"/>
      <c r="AI126" s="118"/>
      <c r="AJ126" s="118"/>
      <c r="AK126" s="117"/>
      <c r="BY126" s="126" t="e">
        <f>#REF!</f>
        <v>#REF!</v>
      </c>
      <c r="BZ126" s="126">
        <v>0</v>
      </c>
      <c r="CA126" s="126" t="s">
        <v>47</v>
      </c>
      <c r="CB126" s="126">
        <v>0</v>
      </c>
      <c r="CC126" s="126">
        <v>0</v>
      </c>
      <c r="CD126" s="126">
        <v>0</v>
      </c>
      <c r="CE126" s="126">
        <v>0</v>
      </c>
      <c r="CF126" s="126">
        <v>0</v>
      </c>
      <c r="CG126" s="126">
        <v>0</v>
      </c>
      <c r="CH126" s="126">
        <v>0</v>
      </c>
      <c r="CI126" s="126" t="e">
        <f>#REF!</f>
        <v>#REF!</v>
      </c>
      <c r="CJ126" s="127"/>
      <c r="CK126" s="127"/>
      <c r="CL126" s="127"/>
    </row>
    <row r="127" spans="1:90" s="14" customFormat="1" ht="18" hidden="1" customHeight="1" x14ac:dyDescent="0.2">
      <c r="A127" s="87" t="s">
        <v>5</v>
      </c>
      <c r="B127" s="222" t="s">
        <v>57</v>
      </c>
      <c r="C127" s="222"/>
      <c r="D127" s="222"/>
      <c r="E127" s="222"/>
      <c r="F127" s="222"/>
      <c r="G127" s="222"/>
      <c r="H127" s="222"/>
      <c r="I127" s="222"/>
      <c r="J127" s="222"/>
      <c r="K127" s="222"/>
      <c r="L127" s="222"/>
      <c r="M127" s="222"/>
      <c r="N127" s="222"/>
      <c r="O127" s="222"/>
      <c r="P127" s="222"/>
      <c r="Q127" s="223" t="s">
        <v>59</v>
      </c>
      <c r="R127" s="223"/>
      <c r="S127" s="223"/>
      <c r="T127" s="223"/>
      <c r="U127" s="223"/>
      <c r="V127" s="223"/>
      <c r="W127" s="223"/>
      <c r="X127" s="223"/>
      <c r="Y127" s="223"/>
      <c r="Z127" s="224" t="s">
        <v>26</v>
      </c>
      <c r="AA127" s="224"/>
      <c r="AB127" s="224"/>
      <c r="AC127" s="225" t="s">
        <v>51</v>
      </c>
      <c r="AD127" s="226"/>
      <c r="AE127" s="226"/>
      <c r="AF127" s="226"/>
      <c r="AG127" s="226"/>
      <c r="AH127" s="226"/>
      <c r="AI127" s="222" t="s">
        <v>9</v>
      </c>
      <c r="AJ127" s="222"/>
      <c r="AK127" s="227"/>
      <c r="AL127" s="15"/>
      <c r="AM127" s="5"/>
      <c r="AN127" s="5"/>
      <c r="AO127" s="5"/>
      <c r="AP127" s="5"/>
      <c r="AQ127" s="5"/>
      <c r="AR127" s="5"/>
      <c r="AS127" s="5"/>
      <c r="AT127" s="5"/>
      <c r="AU127" s="5"/>
      <c r="AV127" s="5"/>
      <c r="AW127" s="5"/>
      <c r="AX127" s="5"/>
      <c r="BY127" s="126" t="e">
        <f>#REF!</f>
        <v>#REF!</v>
      </c>
      <c r="BZ127" s="126">
        <v>0</v>
      </c>
      <c r="CA127" s="126" t="s">
        <v>47</v>
      </c>
      <c r="CB127" s="126" t="s">
        <v>242</v>
      </c>
      <c r="CC127" s="126" t="s">
        <v>243</v>
      </c>
      <c r="CD127" s="126" t="s">
        <v>244</v>
      </c>
      <c r="CE127" s="126" t="s">
        <v>245</v>
      </c>
      <c r="CF127" s="126" t="s">
        <v>246</v>
      </c>
      <c r="CG127" s="126" t="s">
        <v>259</v>
      </c>
      <c r="CH127" s="126" t="s">
        <v>260</v>
      </c>
      <c r="CI127" s="126" t="e">
        <f>#REF!</f>
        <v>#REF!</v>
      </c>
      <c r="CJ127" s="127"/>
      <c r="CK127" s="127"/>
      <c r="CL127" s="127"/>
    </row>
    <row r="128" spans="1:90" s="14" customFormat="1" ht="18" hidden="1" customHeight="1" x14ac:dyDescent="0.2">
      <c r="A128" s="91">
        <v>1</v>
      </c>
      <c r="B128" s="214" t="str">
        <f t="shared" ref="B128:B129" si="14">IF($CA128=0,IF(CB128&lt;&gt;"",CB128,"★サービス確認"),"－")</f>
        <v>－</v>
      </c>
      <c r="C128" s="214"/>
      <c r="D128" s="214"/>
      <c r="E128" s="214"/>
      <c r="F128" s="214"/>
      <c r="G128" s="214"/>
      <c r="H128" s="214"/>
      <c r="I128" s="214"/>
      <c r="J128" s="214"/>
      <c r="K128" s="214"/>
      <c r="L128" s="214"/>
      <c r="M128" s="214"/>
      <c r="N128" s="214"/>
      <c r="O128" s="214"/>
      <c r="P128" s="214"/>
      <c r="Q128" s="215" t="str">
        <f>IF($B128&lt;&gt;"－",IF(ISNUMBER(CC128),TEXT(CC128,"yyyy/mm/dd"),"yyyy/mm/dd"),"－")</f>
        <v>－</v>
      </c>
      <c r="R128" s="215"/>
      <c r="S128" s="215"/>
      <c r="T128" s="215"/>
      <c r="U128" s="68" t="s">
        <v>49</v>
      </c>
      <c r="V128" s="215" t="str">
        <f>IF($B128&lt;&gt;"－",IF(ISNUMBER(CD128),TEXT(CD128,"yyyy/mm/dd"),"yyyy/mm/dd"),"－")</f>
        <v>－</v>
      </c>
      <c r="W128" s="215"/>
      <c r="X128" s="215"/>
      <c r="Y128" s="215"/>
      <c r="Z128" s="216" t="str">
        <f>IF($B128&lt;&gt;"－",IF(CE128="","★要確認",CE128),"－")</f>
        <v>－</v>
      </c>
      <c r="AA128" s="216"/>
      <c r="AB128" s="216"/>
      <c r="AC128" s="217" t="str">
        <f>IF($B128&lt;&gt;"－",TEXT(CG128,"yyyy/mm/dd")&amp;" ～ "&amp;TEXT(CH128,"yyyy/mm/dd"),"－")</f>
        <v>－</v>
      </c>
      <c r="AD128" s="217"/>
      <c r="AE128" s="217"/>
      <c r="AF128" s="217"/>
      <c r="AG128" s="217"/>
      <c r="AH128" s="217"/>
      <c r="AI128" s="218" t="str">
        <f>IF($B128&lt;&gt;"－",$CF128,"－")</f>
        <v>－</v>
      </c>
      <c r="AJ128" s="218"/>
      <c r="AK128" s="219"/>
      <c r="AL128" s="15"/>
      <c r="AM128" s="5"/>
      <c r="AN128" s="5"/>
      <c r="AO128" s="5"/>
      <c r="AP128" s="5"/>
      <c r="AQ128" s="5"/>
      <c r="AR128" s="5"/>
      <c r="AS128" s="5"/>
      <c r="AT128" s="5"/>
      <c r="AU128" s="5"/>
      <c r="AV128" s="5"/>
      <c r="AW128" s="5"/>
      <c r="AX128" s="5"/>
      <c r="BY128" s="126" t="e">
        <f>#REF!</f>
        <v>#REF!</v>
      </c>
      <c r="BZ128" s="126" t="s">
        <v>72</v>
      </c>
      <c r="CA128" s="126" t="s">
        <v>47</v>
      </c>
      <c r="CB128" s="126" t="s">
        <v>261</v>
      </c>
      <c r="CC128" s="126">
        <v>0</v>
      </c>
      <c r="CD128" s="126">
        <v>0</v>
      </c>
      <c r="CE128" s="126" t="s">
        <v>64</v>
      </c>
      <c r="CF128" s="126">
        <v>3000000</v>
      </c>
      <c r="CG128" s="126">
        <v>0</v>
      </c>
      <c r="CH128" s="126">
        <v>0</v>
      </c>
      <c r="CI128" s="126" t="e">
        <f>#REF!</f>
        <v>#REF!</v>
      </c>
      <c r="CJ128" s="127"/>
      <c r="CK128" s="127"/>
      <c r="CL128" s="127"/>
    </row>
    <row r="129" spans="1:90" s="14" customFormat="1" ht="18" hidden="1" customHeight="1" x14ac:dyDescent="0.2">
      <c r="A129" s="90">
        <v>2</v>
      </c>
      <c r="B129" s="208" t="str">
        <f t="shared" si="14"/>
        <v>－</v>
      </c>
      <c r="C129" s="208"/>
      <c r="D129" s="208"/>
      <c r="E129" s="208"/>
      <c r="F129" s="208"/>
      <c r="G129" s="208"/>
      <c r="H129" s="208"/>
      <c r="I129" s="208"/>
      <c r="J129" s="208"/>
      <c r="K129" s="208"/>
      <c r="L129" s="208"/>
      <c r="M129" s="208"/>
      <c r="N129" s="208"/>
      <c r="O129" s="208"/>
      <c r="P129" s="208"/>
      <c r="Q129" s="209" t="str">
        <f>IF($B129&lt;&gt;"－",IF(ISNUMBER(CC129),TEXT(CC129,"yyyy/mm/dd"),"yyyy/mm/dd"),"－")</f>
        <v>－</v>
      </c>
      <c r="R129" s="209"/>
      <c r="S129" s="209"/>
      <c r="T129" s="209"/>
      <c r="U129" s="50" t="s">
        <v>49</v>
      </c>
      <c r="V129" s="209" t="str">
        <f>IF($B129&lt;&gt;"－",IF(ISNUMBER(CD129),TEXT(CD129,"yyyy/mm/dd"),"yyyy/mm/dd"),"－")</f>
        <v>－</v>
      </c>
      <c r="W129" s="209"/>
      <c r="X129" s="209"/>
      <c r="Y129" s="209"/>
      <c r="Z129" s="210" t="str">
        <f>IF($B129&lt;&gt;"－",IF(CE129="","★要確認",CE129),"－")</f>
        <v>－</v>
      </c>
      <c r="AA129" s="210"/>
      <c r="AB129" s="210"/>
      <c r="AC129" s="211" t="str">
        <f>IF($B129&lt;&gt;"－",TEXT(CG129,"yyyy/mm/dd")&amp;" ～ "&amp;TEXT(CH129,"yyyy/mm/dd"),"－")</f>
        <v>－</v>
      </c>
      <c r="AD129" s="211"/>
      <c r="AE129" s="211"/>
      <c r="AF129" s="211"/>
      <c r="AG129" s="211"/>
      <c r="AH129" s="211"/>
      <c r="AI129" s="212" t="str">
        <f>IF($B129&lt;&gt;"－",$CF129,"－")</f>
        <v>－</v>
      </c>
      <c r="AJ129" s="212"/>
      <c r="AK129" s="213"/>
      <c r="AL129" s="15"/>
      <c r="AM129" s="5"/>
      <c r="AN129" s="5"/>
      <c r="AO129" s="5"/>
      <c r="AP129" s="5"/>
      <c r="AQ129" s="5"/>
      <c r="AR129" s="5"/>
      <c r="AS129" s="5"/>
      <c r="AT129" s="5"/>
      <c r="AU129" s="5"/>
      <c r="AV129" s="5"/>
      <c r="AW129" s="5"/>
      <c r="AX129" s="5"/>
      <c r="BY129" s="126" t="e">
        <f>#REF!</f>
        <v>#REF!</v>
      </c>
      <c r="BZ129" s="126" t="s">
        <v>72</v>
      </c>
      <c r="CA129" s="126" t="s">
        <v>47</v>
      </c>
      <c r="CB129" s="126">
        <v>0</v>
      </c>
      <c r="CC129" s="126">
        <v>0</v>
      </c>
      <c r="CD129" s="126">
        <v>0</v>
      </c>
      <c r="CE129" s="126" t="s">
        <v>64</v>
      </c>
      <c r="CF129" s="126">
        <v>4000000</v>
      </c>
      <c r="CG129" s="126">
        <v>0</v>
      </c>
      <c r="CH129" s="126">
        <v>0</v>
      </c>
      <c r="CI129" s="126" t="e">
        <f>#REF!</f>
        <v>#REF!</v>
      </c>
      <c r="CJ129" s="127"/>
      <c r="CK129" s="127"/>
      <c r="CL129" s="127"/>
    </row>
    <row r="130" spans="1:90" s="14" customFormat="1" ht="2.1" hidden="1" customHeight="1" x14ac:dyDescent="0.2">
      <c r="A130" s="89"/>
      <c r="B130" s="101"/>
      <c r="C130" s="101"/>
      <c r="D130" s="101"/>
      <c r="E130" s="101"/>
      <c r="F130" s="101"/>
      <c r="G130" s="101"/>
      <c r="H130" s="101"/>
      <c r="I130" s="101"/>
      <c r="J130" s="101"/>
      <c r="K130" s="101"/>
      <c r="L130" s="101"/>
      <c r="M130" s="101"/>
      <c r="N130" s="101"/>
      <c r="O130" s="101"/>
      <c r="P130" s="101"/>
      <c r="Q130" s="66"/>
      <c r="R130" s="66"/>
      <c r="S130" s="66"/>
      <c r="T130" s="66"/>
      <c r="U130" s="93"/>
      <c r="V130" s="66"/>
      <c r="W130" s="66"/>
      <c r="X130" s="66"/>
      <c r="Y130" s="66"/>
      <c r="Z130" s="100"/>
      <c r="AA130" s="100"/>
      <c r="AB130" s="100"/>
      <c r="AC130" s="67"/>
      <c r="AD130" s="67"/>
      <c r="AE130" s="67"/>
      <c r="AF130" s="67"/>
      <c r="AG130" s="67"/>
      <c r="AH130" s="67"/>
      <c r="AI130" s="94"/>
      <c r="AJ130" s="94"/>
      <c r="AK130" s="95"/>
      <c r="AL130" s="15"/>
      <c r="AM130" s="5"/>
      <c r="AN130" s="5"/>
      <c r="AO130" s="5"/>
      <c r="AP130" s="5"/>
      <c r="AQ130" s="5"/>
      <c r="AR130" s="5"/>
      <c r="AS130" s="5"/>
      <c r="AT130" s="5"/>
      <c r="AU130" s="5"/>
      <c r="AV130" s="5"/>
      <c r="AW130" s="5"/>
      <c r="AX130" s="5"/>
      <c r="BY130" s="126" t="e">
        <f>#REF!</f>
        <v>#REF!</v>
      </c>
      <c r="BZ130" s="126">
        <v>0</v>
      </c>
      <c r="CA130" s="126" t="s">
        <v>47</v>
      </c>
      <c r="CB130" s="126">
        <v>0</v>
      </c>
      <c r="CC130" s="126">
        <v>0</v>
      </c>
      <c r="CD130" s="126">
        <v>0</v>
      </c>
      <c r="CE130" s="126">
        <v>0</v>
      </c>
      <c r="CF130" s="126">
        <v>0</v>
      </c>
      <c r="CG130" s="126">
        <v>0</v>
      </c>
      <c r="CH130" s="126">
        <v>0</v>
      </c>
      <c r="CI130" s="126" t="e">
        <f>#REF!</f>
        <v>#REF!</v>
      </c>
      <c r="CJ130" s="127"/>
      <c r="CK130" s="127"/>
      <c r="CL130" s="127"/>
    </row>
    <row r="131" spans="1:90" s="47" customFormat="1" ht="18" hidden="1" customHeight="1" x14ac:dyDescent="0.2">
      <c r="A131" s="92"/>
      <c r="B131" s="190" t="str">
        <f>IF($CA131=0,"支払条件　","－")</f>
        <v>－</v>
      </c>
      <c r="C131" s="190"/>
      <c r="D131" s="190"/>
      <c r="E131" s="190"/>
      <c r="F131" s="190"/>
      <c r="G131" s="190"/>
      <c r="H131" s="190"/>
      <c r="I131" s="190"/>
      <c r="J131" s="190"/>
      <c r="K131" s="190"/>
      <c r="L131" s="190"/>
      <c r="M131" s="190"/>
      <c r="N131" s="190"/>
      <c r="O131" s="190"/>
      <c r="P131" s="190"/>
      <c r="Q131" s="191" t="str">
        <f>IF($B131&lt;&gt;"－",CB131,"－")</f>
        <v>－</v>
      </c>
      <c r="R131" s="192"/>
      <c r="S131" s="192"/>
      <c r="T131" s="192"/>
      <c r="U131" s="192"/>
      <c r="V131" s="192"/>
      <c r="W131" s="192"/>
      <c r="X131" s="192"/>
      <c r="Y131" s="192"/>
      <c r="Z131" s="192"/>
      <c r="AA131" s="192"/>
      <c r="AB131" s="192"/>
      <c r="AC131" s="192"/>
      <c r="AD131" s="193"/>
      <c r="AE131" s="194" t="str">
        <f>IF($B131&lt;&gt;"－","金額","－")</f>
        <v>－</v>
      </c>
      <c r="AF131" s="195"/>
      <c r="AG131" s="195"/>
      <c r="AH131" s="195"/>
      <c r="AI131" s="196" t="str">
        <f>IF($B131&lt;&gt;"－",CF131,"－")</f>
        <v>－</v>
      </c>
      <c r="AJ131" s="196"/>
      <c r="AK131" s="197"/>
      <c r="AL131" s="46"/>
      <c r="AM131" s="46"/>
      <c r="AN131" s="46"/>
      <c r="AO131" s="46"/>
      <c r="AP131" s="46"/>
      <c r="BY131" s="126" t="e">
        <f>#REF!</f>
        <v>#REF!</v>
      </c>
      <c r="BZ131" s="126">
        <v>0</v>
      </c>
      <c r="CA131" s="126" t="s">
        <v>47</v>
      </c>
      <c r="CB131" s="126" t="s">
        <v>178</v>
      </c>
      <c r="CC131" s="126">
        <v>0</v>
      </c>
      <c r="CD131" s="126">
        <v>0</v>
      </c>
      <c r="CE131" s="126">
        <v>0</v>
      </c>
      <c r="CF131" s="126">
        <v>3000000</v>
      </c>
      <c r="CG131" s="126" t="s">
        <v>56</v>
      </c>
      <c r="CH131" s="126">
        <v>0</v>
      </c>
      <c r="CI131" s="126" t="e">
        <f>#REF!</f>
        <v>#REF!</v>
      </c>
      <c r="CJ131" s="136"/>
      <c r="CK131" s="136"/>
      <c r="CL131" s="136"/>
    </row>
    <row r="132" spans="1:90" s="47" customFormat="1" ht="18" hidden="1" customHeight="1" x14ac:dyDescent="0.2">
      <c r="A132" s="88">
        <v>2</v>
      </c>
      <c r="B132" s="198" t="str">
        <f>IF($CA132=0,"支払条件　","－")</f>
        <v>－</v>
      </c>
      <c r="C132" s="198"/>
      <c r="D132" s="198"/>
      <c r="E132" s="198"/>
      <c r="F132" s="198"/>
      <c r="G132" s="198"/>
      <c r="H132" s="198"/>
      <c r="I132" s="198"/>
      <c r="J132" s="198"/>
      <c r="K132" s="198"/>
      <c r="L132" s="198"/>
      <c r="M132" s="198"/>
      <c r="N132" s="198"/>
      <c r="O132" s="198"/>
      <c r="P132" s="198"/>
      <c r="Q132" s="199" t="str">
        <f>IF($B132&lt;&gt;"－",CB132,"－")</f>
        <v>－</v>
      </c>
      <c r="R132" s="200"/>
      <c r="S132" s="200"/>
      <c r="T132" s="200"/>
      <c r="U132" s="200"/>
      <c r="V132" s="200"/>
      <c r="W132" s="200"/>
      <c r="X132" s="200"/>
      <c r="Y132" s="200"/>
      <c r="Z132" s="200"/>
      <c r="AA132" s="200"/>
      <c r="AB132" s="200"/>
      <c r="AC132" s="200"/>
      <c r="AD132" s="201"/>
      <c r="AE132" s="202" t="str">
        <f>IF($B132&lt;&gt;"－","金額","－")</f>
        <v>－</v>
      </c>
      <c r="AF132" s="203"/>
      <c r="AG132" s="203"/>
      <c r="AH132" s="203"/>
      <c r="AI132" s="204" t="str">
        <f>IF($B132&lt;&gt;"－",CF132,"－")</f>
        <v>－</v>
      </c>
      <c r="AJ132" s="204"/>
      <c r="AK132" s="205"/>
      <c r="AL132" s="46"/>
      <c r="AM132" s="46"/>
      <c r="AN132" s="46"/>
      <c r="AO132" s="46"/>
      <c r="AP132" s="46"/>
      <c r="BY132" s="126" t="e">
        <f>#REF!</f>
        <v>#REF!</v>
      </c>
      <c r="BZ132" s="126">
        <v>0</v>
      </c>
      <c r="CA132" s="126" t="s">
        <v>47</v>
      </c>
      <c r="CB132" s="126" t="s">
        <v>178</v>
      </c>
      <c r="CC132" s="126">
        <v>0</v>
      </c>
      <c r="CD132" s="126">
        <v>0</v>
      </c>
      <c r="CE132" s="126">
        <v>0</v>
      </c>
      <c r="CF132" s="126">
        <v>4000000</v>
      </c>
      <c r="CG132" s="126" t="s">
        <v>56</v>
      </c>
      <c r="CH132" s="126">
        <v>0</v>
      </c>
      <c r="CI132" s="126" t="e">
        <f>#REF!</f>
        <v>#REF!</v>
      </c>
      <c r="CJ132" s="136"/>
      <c r="CK132" s="136"/>
      <c r="CL132" s="136"/>
    </row>
    <row r="133" spans="1:90" s="14" customFormat="1" ht="15" customHeight="1" x14ac:dyDescent="0.2">
      <c r="A133" s="116"/>
      <c r="B133" s="116"/>
      <c r="C133" s="116"/>
      <c r="D133" s="116"/>
      <c r="E133" s="116"/>
      <c r="F133" s="116"/>
      <c r="G133" s="116"/>
      <c r="H133" s="116"/>
      <c r="I133" s="116"/>
      <c r="J133" s="116"/>
      <c r="K133" s="116"/>
      <c r="L133" s="116"/>
      <c r="M133" s="116"/>
      <c r="N133" s="116"/>
      <c r="O133" s="116"/>
      <c r="P133" s="116"/>
      <c r="Q133" s="116"/>
      <c r="R133" s="116"/>
      <c r="S133" s="116"/>
      <c r="T133" s="116"/>
      <c r="U133" s="117"/>
      <c r="V133" s="118"/>
      <c r="W133" s="118"/>
      <c r="X133" s="118"/>
      <c r="Y133" s="118"/>
      <c r="Z133" s="118"/>
      <c r="AA133" s="118"/>
      <c r="AB133" s="118"/>
      <c r="AC133" s="118"/>
      <c r="AD133" s="118"/>
      <c r="AE133" s="118"/>
      <c r="AF133" s="118"/>
      <c r="AG133" s="118"/>
      <c r="AH133" s="118"/>
      <c r="AI133" s="118"/>
      <c r="AJ133" s="118"/>
      <c r="AK133" s="117"/>
      <c r="BY133" s="126" t="e">
        <f>#REF!</f>
        <v>#REF!</v>
      </c>
      <c r="BZ133" s="126">
        <v>0</v>
      </c>
      <c r="CA133" s="126">
        <v>0</v>
      </c>
      <c r="CB133" s="126">
        <v>0</v>
      </c>
      <c r="CC133" s="126">
        <v>0</v>
      </c>
      <c r="CD133" s="126">
        <v>0</v>
      </c>
      <c r="CE133" s="126">
        <v>0</v>
      </c>
      <c r="CF133" s="126">
        <v>0</v>
      </c>
      <c r="CG133" s="126">
        <v>0</v>
      </c>
      <c r="CH133" s="126">
        <v>0</v>
      </c>
      <c r="CI133" s="126" t="e">
        <f>#REF!</f>
        <v>#REF!</v>
      </c>
      <c r="CJ133" s="127"/>
      <c r="CK133" s="127"/>
      <c r="CL133" s="127"/>
    </row>
    <row r="134" spans="1:90" s="14" customFormat="1" ht="21" customHeight="1" x14ac:dyDescent="0.2">
      <c r="A134" s="185" t="s">
        <v>60</v>
      </c>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c r="AF134" s="186"/>
      <c r="AG134" s="186"/>
      <c r="AH134" s="186"/>
      <c r="AI134" s="186"/>
      <c r="AJ134" s="186"/>
      <c r="AK134" s="187"/>
      <c r="BY134" s="126" t="e">
        <f>#REF!</f>
        <v>#REF!</v>
      </c>
      <c r="BZ134" s="126">
        <v>0</v>
      </c>
      <c r="CA134" s="126">
        <v>0</v>
      </c>
      <c r="CB134" s="126">
        <v>0</v>
      </c>
      <c r="CC134" s="126">
        <v>0</v>
      </c>
      <c r="CD134" s="126">
        <v>0</v>
      </c>
      <c r="CE134" s="126">
        <v>0</v>
      </c>
      <c r="CF134" s="126">
        <v>0</v>
      </c>
      <c r="CG134" s="126">
        <v>0</v>
      </c>
      <c r="CH134" s="126">
        <v>0</v>
      </c>
      <c r="CI134" s="126" t="e">
        <f>#REF!</f>
        <v>#REF!</v>
      </c>
      <c r="CJ134" s="127"/>
      <c r="CK134" s="127"/>
      <c r="CL134" s="127"/>
    </row>
    <row r="135" spans="1:90" s="14" customFormat="1" ht="30" hidden="1" customHeight="1" x14ac:dyDescent="0.2">
      <c r="A135" s="86"/>
      <c r="B135" s="206" t="str">
        <f>IF(CB135=0,"",CB135)</f>
        <v/>
      </c>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c r="AA135" s="206"/>
      <c r="AB135" s="206"/>
      <c r="AC135" s="206"/>
      <c r="AD135" s="206"/>
      <c r="AE135" s="206"/>
      <c r="AF135" s="206"/>
      <c r="AG135" s="206"/>
      <c r="AH135" s="206"/>
      <c r="AI135" s="206"/>
      <c r="AJ135" s="206"/>
      <c r="AK135" s="166"/>
      <c r="BY135" s="126" t="e">
        <f>#REF!</f>
        <v>#REF!</v>
      </c>
      <c r="BZ135" s="126">
        <v>0</v>
      </c>
      <c r="CA135" s="126" t="s">
        <v>47</v>
      </c>
      <c r="CB135" s="126">
        <v>0</v>
      </c>
      <c r="CC135" s="126">
        <v>0</v>
      </c>
      <c r="CD135" s="126">
        <v>0</v>
      </c>
      <c r="CE135" s="126">
        <v>0</v>
      </c>
      <c r="CF135" s="126">
        <v>0</v>
      </c>
      <c r="CG135" s="126">
        <v>0</v>
      </c>
      <c r="CH135" s="126">
        <v>0</v>
      </c>
      <c r="CI135" s="126" t="e">
        <f>#REF!</f>
        <v>#REF!</v>
      </c>
      <c r="CJ135" s="127"/>
      <c r="CK135" s="127"/>
      <c r="CL135" s="127"/>
    </row>
    <row r="136" spans="1:90" s="14" customFormat="1" ht="30" hidden="1" customHeight="1" x14ac:dyDescent="0.2">
      <c r="A136" s="86"/>
      <c r="B136" s="206" t="str">
        <f t="shared" ref="B136:B148" si="15">IF(CB136=0,"",CB136)</f>
        <v>納品予定日：xxxx年 ｘｘ月 xx日</v>
      </c>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c r="AA136" s="206"/>
      <c r="AB136" s="206"/>
      <c r="AC136" s="206"/>
      <c r="AD136" s="206"/>
      <c r="AE136" s="206"/>
      <c r="AF136" s="206"/>
      <c r="AG136" s="206"/>
      <c r="AH136" s="206"/>
      <c r="AI136" s="206"/>
      <c r="AJ136" s="206"/>
      <c r="AK136" s="166"/>
      <c r="BY136" s="126" t="e">
        <f>#REF!</f>
        <v>#REF!</v>
      </c>
      <c r="BZ136" s="126">
        <v>0</v>
      </c>
      <c r="CA136" s="126" t="s">
        <v>47</v>
      </c>
      <c r="CB136" s="126" t="s">
        <v>262</v>
      </c>
      <c r="CC136" s="126">
        <v>0</v>
      </c>
      <c r="CD136" s="126">
        <v>0</v>
      </c>
      <c r="CE136" s="126">
        <v>0</v>
      </c>
      <c r="CF136" s="126">
        <v>0</v>
      </c>
      <c r="CG136" s="126">
        <v>0</v>
      </c>
      <c r="CH136" s="126">
        <v>0</v>
      </c>
      <c r="CI136" s="126" t="e">
        <f>#REF!</f>
        <v>#REF!</v>
      </c>
      <c r="CJ136" s="127"/>
      <c r="CK136" s="127"/>
      <c r="CL136" s="127"/>
    </row>
    <row r="137" spans="1:90" s="14" customFormat="1" ht="30" hidden="1" customHeight="1" x14ac:dyDescent="0.2">
      <c r="A137" s="86"/>
      <c r="B137" s="206" t="str">
        <f t="shared" si="15"/>
        <v>利用規約（「ENTERPRISE SOFTWARE LICENSE AGREEMENT」）にかかわらず、お客様は、ＮＲＩに対し契約期間中の途中解約時においてNRIに一括で支払った利用料金（サブスクリプションライセンスおよびサポートサービス料）の返還を請求することはできません。</v>
      </c>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c r="AA137" s="206"/>
      <c r="AB137" s="206"/>
      <c r="AC137" s="206"/>
      <c r="AD137" s="206"/>
      <c r="AE137" s="206"/>
      <c r="AF137" s="206"/>
      <c r="AG137" s="206"/>
      <c r="AH137" s="206"/>
      <c r="AI137" s="206"/>
      <c r="AJ137" s="206"/>
      <c r="AK137" s="166"/>
      <c r="BY137" s="126" t="e">
        <f>#REF!</f>
        <v>#REF!</v>
      </c>
      <c r="BZ137" s="126">
        <v>0</v>
      </c>
      <c r="CA137" s="126" t="s">
        <v>47</v>
      </c>
      <c r="CB137" s="126" t="s">
        <v>263</v>
      </c>
      <c r="CC137" s="126">
        <v>0</v>
      </c>
      <c r="CD137" s="126">
        <v>0</v>
      </c>
      <c r="CE137" s="126">
        <v>0</v>
      </c>
      <c r="CF137" s="126">
        <v>0</v>
      </c>
      <c r="CG137" s="126">
        <v>0</v>
      </c>
      <c r="CH137" s="126">
        <v>0</v>
      </c>
      <c r="CI137" s="126" t="e">
        <f>#REF!</f>
        <v>#REF!</v>
      </c>
      <c r="CJ137" s="127"/>
      <c r="CK137" s="127"/>
      <c r="CL137" s="127"/>
    </row>
    <row r="138" spans="1:90" s="14" customFormat="1" ht="42" hidden="1" customHeight="1" x14ac:dyDescent="0.2">
      <c r="A138" s="86"/>
      <c r="B138" s="206" t="str">
        <f t="shared" si="15"/>
        <v>追加規約として、「Onetrust Product Usage Terms※ 」 が本申込書に組み込まれることとします。
※https://www.onetrust.com/legal/onetrust-product-usage-terms.pdf
上記追加規約に従い、Average Daily Usersがご注文の数量を超えることとなった場合、当該超過した分については別途契約（単価は精算時点の為替レートで算出）することとします。</v>
      </c>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c r="AA138" s="206"/>
      <c r="AB138" s="206"/>
      <c r="AC138" s="206"/>
      <c r="AD138" s="206"/>
      <c r="AE138" s="206"/>
      <c r="AF138" s="206"/>
      <c r="AG138" s="206"/>
      <c r="AH138" s="206"/>
      <c r="AI138" s="206"/>
      <c r="AJ138" s="206"/>
      <c r="AK138" s="166"/>
      <c r="BY138" s="126" t="e">
        <f>#REF!</f>
        <v>#REF!</v>
      </c>
      <c r="BZ138" s="126">
        <v>0</v>
      </c>
      <c r="CA138" s="126" t="s">
        <v>47</v>
      </c>
      <c r="CB138" s="126" t="s">
        <v>264</v>
      </c>
      <c r="CC138" s="126">
        <v>0</v>
      </c>
      <c r="CD138" s="126">
        <v>0</v>
      </c>
      <c r="CE138" s="126">
        <v>0</v>
      </c>
      <c r="CF138" s="126">
        <v>0</v>
      </c>
      <c r="CG138" s="126">
        <v>0</v>
      </c>
      <c r="CH138" s="126">
        <v>0</v>
      </c>
      <c r="CI138" s="126" t="e">
        <f>#REF!</f>
        <v>#REF!</v>
      </c>
      <c r="CJ138" s="127"/>
      <c r="CK138" s="127"/>
      <c r="CL138" s="127"/>
    </row>
    <row r="139" spans="1:90" s="14" customFormat="1" ht="99.9" customHeight="1" x14ac:dyDescent="0.2">
      <c r="A139" s="86"/>
      <c r="B139" s="206" t="str">
        <f t="shared" si="15"/>
        <v>・上記金額は、ライセンス価格にNRI技術サポート費用（ライセンス価格の20%）を加算した金額です
　従量費についても同様にNRI技術サポート費用を加算します
・支払条件は、利用月翌月末に固定費と従量費を合算して請求し、利用翌々月末日支払とします
・マイクロソフトのライセンス価格については、次のURLにある「Azureの価格」を参照ください（　https://azure.microsoft.com/ja-jp/pricing/　）
・最低利用ユーザー数は、注１ユーザ数欄の記載ユーザ数で固定費扱いとなります
　そのユーザ数を超えた利用料金、並びにその他オプション品につきましては毎月の従量課金とします
・本書の有効期間満了の2ヶ月前までにお客様又はNRIの何れからの書面による解約の意思表示または契約内容の変更がない限り、有効期間は更に1年間自動的に延長されるものとし、その後も同様とします</v>
      </c>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c r="AA139" s="206"/>
      <c r="AB139" s="206"/>
      <c r="AC139" s="206"/>
      <c r="AD139" s="206"/>
      <c r="AE139" s="206"/>
      <c r="AF139" s="206"/>
      <c r="AG139" s="206"/>
      <c r="AH139" s="206"/>
      <c r="AI139" s="206"/>
      <c r="AJ139" s="206"/>
      <c r="AK139" s="166"/>
      <c r="BY139" s="126" t="e">
        <f>#REF!</f>
        <v>#REF!</v>
      </c>
      <c r="BZ139" s="126">
        <v>0</v>
      </c>
      <c r="CA139" s="126" t="s">
        <v>219</v>
      </c>
      <c r="CB139" s="126" t="s">
        <v>265</v>
      </c>
      <c r="CC139" s="126">
        <v>0</v>
      </c>
      <c r="CD139" s="126">
        <v>0</v>
      </c>
      <c r="CE139" s="126">
        <v>0</v>
      </c>
      <c r="CF139" s="126">
        <v>0</v>
      </c>
      <c r="CG139" s="126">
        <v>0</v>
      </c>
      <c r="CH139" s="126">
        <v>0</v>
      </c>
      <c r="CI139" s="126" t="e">
        <f>#REF!</f>
        <v>#REF!</v>
      </c>
      <c r="CJ139" s="127"/>
      <c r="CK139" s="127"/>
      <c r="CL139" s="127"/>
    </row>
    <row r="140" spans="1:90" s="14" customFormat="1" ht="30" hidden="1" customHeight="1" x14ac:dyDescent="0.2">
      <c r="A140" s="86"/>
      <c r="B140" s="206" t="str">
        <f t="shared" si="15"/>
        <v>AWS Marketplaceを通じて本契約に係る製品又はサービスの購入手続きを行う場合、別途【AWSマーケットプレイス特約条項】が適用されるものとします。</v>
      </c>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c r="AC140" s="206"/>
      <c r="AD140" s="206"/>
      <c r="AE140" s="206"/>
      <c r="AF140" s="206"/>
      <c r="AG140" s="206"/>
      <c r="AH140" s="206"/>
      <c r="AI140" s="206"/>
      <c r="AJ140" s="206"/>
      <c r="AK140" s="166"/>
      <c r="BY140" s="126" t="e">
        <f>#REF!</f>
        <v>#REF!</v>
      </c>
      <c r="BZ140" s="126">
        <v>0</v>
      </c>
      <c r="CA140" s="126" t="s">
        <v>47</v>
      </c>
      <c r="CB140" s="126" t="s">
        <v>266</v>
      </c>
      <c r="CC140" s="126">
        <v>0</v>
      </c>
      <c r="CD140" s="126">
        <v>0</v>
      </c>
      <c r="CE140" s="126">
        <v>0</v>
      </c>
      <c r="CF140" s="126">
        <v>0</v>
      </c>
      <c r="CG140" s="126">
        <v>0</v>
      </c>
      <c r="CH140" s="126">
        <v>0</v>
      </c>
      <c r="CI140" s="126" t="e">
        <f>#REF!</f>
        <v>#REF!</v>
      </c>
      <c r="CJ140" s="127"/>
      <c r="CK140" s="127"/>
      <c r="CL140" s="127"/>
    </row>
    <row r="141" spans="1:90" s="14" customFormat="1" ht="30" hidden="1" customHeight="1" x14ac:dyDescent="0.2">
      <c r="A141" s="86"/>
      <c r="B141" s="206" t="str">
        <f t="shared" si="15"/>
        <v>本書の有効期間満了の2ヶ月前までにお客様又はNRIの何れからの書面による解約の意思表示または契約内容の変更がない限り、有効期間は更に1年間自動的に延長されるものとし、その後も同様とします。</v>
      </c>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c r="AA141" s="206"/>
      <c r="AB141" s="206"/>
      <c r="AC141" s="206"/>
      <c r="AD141" s="206"/>
      <c r="AE141" s="206"/>
      <c r="AF141" s="206"/>
      <c r="AG141" s="206"/>
      <c r="AH141" s="206"/>
      <c r="AI141" s="206"/>
      <c r="AJ141" s="206"/>
      <c r="AK141" s="166"/>
      <c r="BY141" s="126" t="e">
        <f>#REF!</f>
        <v>#REF!</v>
      </c>
      <c r="BZ141" s="126">
        <v>0</v>
      </c>
      <c r="CA141" s="126" t="s">
        <v>47</v>
      </c>
      <c r="CB141" s="126" t="s">
        <v>267</v>
      </c>
      <c r="CC141" s="126">
        <v>0</v>
      </c>
      <c r="CD141" s="126">
        <v>0</v>
      </c>
      <c r="CE141" s="126">
        <v>0</v>
      </c>
      <c r="CF141" s="126">
        <v>0</v>
      </c>
      <c r="CG141" s="126">
        <v>0</v>
      </c>
      <c r="CH141" s="126">
        <v>0</v>
      </c>
      <c r="CI141" s="126" t="e">
        <f>#REF!</f>
        <v>#REF!</v>
      </c>
      <c r="CJ141" s="127"/>
      <c r="CK141" s="127"/>
      <c r="CL141" s="127"/>
    </row>
    <row r="142" spans="1:90" s="14" customFormat="1" ht="39.9" hidden="1" customHeight="1" x14ac:dyDescent="0.2">
      <c r="A142" s="86"/>
      <c r="B142" s="206" t="str">
        <f t="shared" si="15"/>
        <v>※ユーザー数は、NOTION LABS, INC.所定の方法により3ヶ月に1度の割合で測定されるものとし、当該測定の結果、本申込書記載のユーザ数を超える使用があると認められた場合、
 当該超過分について別途契約（期間は残期間分の日割りとし、単価は精算時点の為替レートで算出）することとします。
※NOTION LABS, INC.は、本契約の第三受益者（イングランドおよびウェールズ法における”Third Party Beneficially”を意味する）であることを確認します。</v>
      </c>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c r="AA142" s="206"/>
      <c r="AB142" s="206"/>
      <c r="AC142" s="206"/>
      <c r="AD142" s="206"/>
      <c r="AE142" s="206"/>
      <c r="AF142" s="206"/>
      <c r="AG142" s="206"/>
      <c r="AH142" s="206"/>
      <c r="AI142" s="206"/>
      <c r="AJ142" s="206"/>
      <c r="AK142" s="166"/>
      <c r="BY142" s="126" t="e">
        <f>#REF!</f>
        <v>#REF!</v>
      </c>
      <c r="BZ142" s="126">
        <v>0</v>
      </c>
      <c r="CA142" s="126" t="s">
        <v>47</v>
      </c>
      <c r="CB142" s="126" t="s">
        <v>268</v>
      </c>
      <c r="CC142" s="126">
        <v>0</v>
      </c>
      <c r="CD142" s="126">
        <v>0</v>
      </c>
      <c r="CE142" s="126">
        <v>0</v>
      </c>
      <c r="CF142" s="126">
        <v>0</v>
      </c>
      <c r="CG142" s="126">
        <v>0</v>
      </c>
      <c r="CH142" s="126">
        <v>0</v>
      </c>
      <c r="CI142" s="126" t="e">
        <f>#REF!</f>
        <v>#REF!</v>
      </c>
      <c r="CJ142" s="127"/>
      <c r="CK142" s="127"/>
      <c r="CL142" s="127"/>
    </row>
    <row r="143" spans="1:90" s="14" customFormat="1" ht="75.900000000000006" hidden="1" customHeight="1" x14ac:dyDescent="0.2">
      <c r="A143" s="86"/>
      <c r="B143" s="206" t="str">
        <f t="shared" si="15"/>
        <v>クレジット数およびユーザーシート数を超えて利用された場合、当該超過分については別途契約となります。
・クレジット（200,000ステップ）
　50単位あたり1.2USDの単価で、超過月の為替相場にて日本円に換算して請求します。
・ユーザーシート（5シート）
　1シート1か月あたり16USDの単価で、上限追加当月分を含むご契約残月数分について、シート追加当月の為替相場にて日本円に換算して請求します。
※なお、クレジットおよびユーザーシートの単価は変動する可能性があります。</v>
      </c>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c r="AA143" s="206"/>
      <c r="AB143" s="206"/>
      <c r="AC143" s="206"/>
      <c r="AD143" s="206"/>
      <c r="AE143" s="206"/>
      <c r="AF143" s="206"/>
      <c r="AG143" s="206"/>
      <c r="AH143" s="206"/>
      <c r="AI143" s="206"/>
      <c r="AJ143" s="206"/>
      <c r="AK143" s="166"/>
      <c r="BY143" s="126" t="e">
        <f>#REF!</f>
        <v>#REF!</v>
      </c>
      <c r="BZ143" s="126">
        <v>0</v>
      </c>
      <c r="CA143" s="126" t="s">
        <v>47</v>
      </c>
      <c r="CB143" s="126" t="s">
        <v>269</v>
      </c>
      <c r="CC143" s="126">
        <v>0</v>
      </c>
      <c r="CD143" s="126">
        <v>0</v>
      </c>
      <c r="CE143" s="126">
        <v>0</v>
      </c>
      <c r="CF143" s="126">
        <v>0</v>
      </c>
      <c r="CG143" s="126">
        <v>0</v>
      </c>
      <c r="CH143" s="126">
        <v>0</v>
      </c>
      <c r="CI143" s="126" t="e">
        <f>#REF!</f>
        <v>#REF!</v>
      </c>
      <c r="CJ143" s="127"/>
      <c r="CK143" s="127"/>
      <c r="CL143" s="127"/>
    </row>
    <row r="144" spans="1:90" s="14" customFormat="1" ht="30" hidden="1" customHeight="1" x14ac:dyDescent="0.2">
      <c r="A144" s="86"/>
      <c r="B144" s="206" t="str">
        <f t="shared" si="15"/>
        <v>本取引において提供されるサービスは、RealtimeBoard, Inc.からお客様に直接提供されるものであり、株式会社野村総合研究所は当該サービスに関して、お客様に対して請求原因の如何を問わず責任を負わず、当該サービスに関連する請求等はお客様からRealtimeBoard, Inc.に対して直接実施されるものとします。</v>
      </c>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c r="AB144" s="206"/>
      <c r="AC144" s="206"/>
      <c r="AD144" s="206"/>
      <c r="AE144" s="206"/>
      <c r="AF144" s="206"/>
      <c r="AG144" s="206"/>
      <c r="AH144" s="206"/>
      <c r="AI144" s="206"/>
      <c r="AJ144" s="206"/>
      <c r="AK144" s="166"/>
      <c r="BY144" s="126" t="e">
        <f>#REF!</f>
        <v>#REF!</v>
      </c>
      <c r="BZ144" s="126">
        <v>0</v>
      </c>
      <c r="CA144" s="126" t="s">
        <v>47</v>
      </c>
      <c r="CB144" s="126" t="s">
        <v>270</v>
      </c>
      <c r="CC144" s="126">
        <v>0</v>
      </c>
      <c r="CD144" s="126">
        <v>0</v>
      </c>
      <c r="CE144" s="126">
        <v>0</v>
      </c>
      <c r="CF144" s="126">
        <v>0</v>
      </c>
      <c r="CG144" s="126">
        <v>0</v>
      </c>
      <c r="CH144" s="126">
        <v>0</v>
      </c>
      <c r="CI144" s="126" t="e">
        <f>#REF!</f>
        <v>#REF!</v>
      </c>
      <c r="CJ144" s="127"/>
      <c r="CK144" s="127"/>
      <c r="CL144" s="127"/>
    </row>
    <row r="145" spans="1:90" s="14" customFormat="1" ht="30" hidden="1" customHeight="1" x14ac:dyDescent="0.2">
      <c r="A145" s="86"/>
      <c r="B145" s="206" t="str">
        <f t="shared" si="15"/>
        <v/>
      </c>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c r="AA145" s="206"/>
      <c r="AB145" s="206"/>
      <c r="AC145" s="206"/>
      <c r="AD145" s="206"/>
      <c r="AE145" s="206"/>
      <c r="AF145" s="206"/>
      <c r="AG145" s="206"/>
      <c r="AH145" s="206"/>
      <c r="AI145" s="206"/>
      <c r="AJ145" s="206"/>
      <c r="AK145" s="166"/>
      <c r="BY145" s="126" t="e">
        <f>#REF!</f>
        <v>#REF!</v>
      </c>
      <c r="BZ145" s="126">
        <v>0</v>
      </c>
      <c r="CA145" s="126" t="s">
        <v>47</v>
      </c>
      <c r="CB145" s="126">
        <v>0</v>
      </c>
      <c r="CC145" s="126">
        <v>0</v>
      </c>
      <c r="CD145" s="126">
        <v>0</v>
      </c>
      <c r="CE145" s="126">
        <v>0</v>
      </c>
      <c r="CF145" s="126">
        <v>0</v>
      </c>
      <c r="CG145" s="126">
        <v>0</v>
      </c>
      <c r="CH145" s="126">
        <v>0</v>
      </c>
      <c r="CI145" s="126" t="e">
        <f>#REF!</f>
        <v>#REF!</v>
      </c>
      <c r="CJ145" s="127"/>
      <c r="CK145" s="127"/>
      <c r="CL145" s="127"/>
    </row>
    <row r="146" spans="1:90" s="14" customFormat="1" ht="30" hidden="1" customHeight="1" x14ac:dyDescent="0.2">
      <c r="A146" s="86"/>
      <c r="B146" s="206" t="str">
        <f t="shared" si="15"/>
        <v/>
      </c>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c r="AA146" s="206"/>
      <c r="AB146" s="206"/>
      <c r="AC146" s="206"/>
      <c r="AD146" s="206"/>
      <c r="AE146" s="206"/>
      <c r="AF146" s="206"/>
      <c r="AG146" s="206"/>
      <c r="AH146" s="206"/>
      <c r="AI146" s="206"/>
      <c r="AJ146" s="206"/>
      <c r="AK146" s="166"/>
      <c r="BY146" s="126" t="e">
        <f>#REF!</f>
        <v>#REF!</v>
      </c>
      <c r="BZ146" s="126">
        <v>0</v>
      </c>
      <c r="CA146" s="126" t="s">
        <v>47</v>
      </c>
      <c r="CB146" s="126">
        <v>0</v>
      </c>
      <c r="CC146" s="126">
        <v>0</v>
      </c>
      <c r="CD146" s="126">
        <v>0</v>
      </c>
      <c r="CE146" s="126">
        <v>0</v>
      </c>
      <c r="CF146" s="126">
        <v>0</v>
      </c>
      <c r="CG146" s="126">
        <v>0</v>
      </c>
      <c r="CH146" s="126">
        <v>0</v>
      </c>
      <c r="CI146" s="126" t="e">
        <f>#REF!</f>
        <v>#REF!</v>
      </c>
      <c r="CJ146" s="127"/>
      <c r="CK146" s="127"/>
      <c r="CL146" s="127"/>
    </row>
    <row r="147" spans="1:90" s="14" customFormat="1" ht="30" hidden="1" customHeight="1" x14ac:dyDescent="0.2">
      <c r="A147" s="86"/>
      <c r="B147" s="206" t="str">
        <f t="shared" ref="B147" si="16">IF(CB147=0,"",CB147)</f>
        <v/>
      </c>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c r="AA147" s="206"/>
      <c r="AB147" s="206"/>
      <c r="AC147" s="206"/>
      <c r="AD147" s="206"/>
      <c r="AE147" s="206"/>
      <c r="AF147" s="206"/>
      <c r="AG147" s="206"/>
      <c r="AH147" s="206"/>
      <c r="AI147" s="206"/>
      <c r="AJ147" s="206"/>
      <c r="AK147" s="166"/>
      <c r="BY147" s="126" t="e">
        <f>#REF!</f>
        <v>#REF!</v>
      </c>
      <c r="BZ147" s="126">
        <v>0</v>
      </c>
      <c r="CA147" s="126" t="s">
        <v>47</v>
      </c>
      <c r="CB147" s="126">
        <v>0</v>
      </c>
      <c r="CC147" s="126">
        <v>0</v>
      </c>
      <c r="CD147" s="126">
        <v>0</v>
      </c>
      <c r="CE147" s="126">
        <v>0</v>
      </c>
      <c r="CF147" s="126">
        <v>0</v>
      </c>
      <c r="CG147" s="126">
        <v>0</v>
      </c>
      <c r="CH147" s="126">
        <v>0</v>
      </c>
      <c r="CI147" s="126" t="e">
        <f>#REF!</f>
        <v>#REF!</v>
      </c>
      <c r="CJ147" s="127"/>
      <c r="CK147" s="127"/>
      <c r="CL147" s="127"/>
    </row>
    <row r="148" spans="1:90" s="14" customFormat="1" ht="30" hidden="1" customHeight="1" x14ac:dyDescent="0.2">
      <c r="A148" s="86"/>
      <c r="B148" s="206" t="str">
        <f t="shared" si="15"/>
        <v/>
      </c>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c r="AA148" s="206"/>
      <c r="AB148" s="206"/>
      <c r="AC148" s="206"/>
      <c r="AD148" s="206"/>
      <c r="AE148" s="206"/>
      <c r="AF148" s="206"/>
      <c r="AG148" s="206"/>
      <c r="AH148" s="206"/>
      <c r="AI148" s="206"/>
      <c r="AJ148" s="206"/>
      <c r="AK148" s="166"/>
      <c r="BY148" s="126" t="e">
        <f>#REF!</f>
        <v>#REF!</v>
      </c>
      <c r="BZ148" s="126">
        <v>0</v>
      </c>
      <c r="CA148" s="126" t="s">
        <v>47</v>
      </c>
      <c r="CB148" s="126">
        <v>0</v>
      </c>
      <c r="CC148" s="126">
        <v>0</v>
      </c>
      <c r="CD148" s="126">
        <v>0</v>
      </c>
      <c r="CE148" s="126">
        <v>0</v>
      </c>
      <c r="CF148" s="126">
        <v>0</v>
      </c>
      <c r="CG148" s="126">
        <v>0</v>
      </c>
      <c r="CH148" s="126">
        <v>0</v>
      </c>
      <c r="CI148" s="126" t="e">
        <f>#REF!</f>
        <v>#REF!</v>
      </c>
      <c r="CJ148" s="127"/>
      <c r="CK148" s="127"/>
      <c r="CL148" s="127"/>
    </row>
    <row r="149" spans="1:90" s="14" customFormat="1" ht="30" hidden="1" customHeight="1" x14ac:dyDescent="0.2">
      <c r="A149" s="84"/>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c r="AA149" s="206"/>
      <c r="AB149" s="206"/>
      <c r="AC149" s="206"/>
      <c r="AD149" s="206"/>
      <c r="AE149" s="206"/>
      <c r="AF149" s="206"/>
      <c r="AG149" s="206"/>
      <c r="AH149" s="206"/>
      <c r="AI149" s="206"/>
      <c r="AJ149" s="206"/>
      <c r="AK149" s="166"/>
      <c r="BY149" s="126" t="e">
        <f>#REF!</f>
        <v>#REF!</v>
      </c>
      <c r="BZ149" s="126">
        <v>0</v>
      </c>
      <c r="CA149" s="126" t="s">
        <v>47</v>
      </c>
      <c r="CB149" s="126" t="s">
        <v>263</v>
      </c>
      <c r="CC149" s="126">
        <v>0</v>
      </c>
      <c r="CD149" s="126">
        <v>0</v>
      </c>
      <c r="CE149" s="126">
        <v>0</v>
      </c>
      <c r="CF149" s="126">
        <v>0</v>
      </c>
      <c r="CG149" s="126">
        <v>0</v>
      </c>
      <c r="CH149" s="126">
        <v>0</v>
      </c>
      <c r="CI149" s="126" t="e">
        <f>#REF!</f>
        <v>#REF!</v>
      </c>
      <c r="CJ149" s="127"/>
      <c r="CK149" s="127"/>
      <c r="CL149" s="127"/>
    </row>
    <row r="150" spans="1:90" s="14" customFormat="1" ht="2.1" customHeight="1" x14ac:dyDescent="0.2">
      <c r="A150" s="85"/>
      <c r="B150" s="182"/>
      <c r="C150" s="182"/>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82"/>
      <c r="Z150" s="182"/>
      <c r="AA150" s="182"/>
      <c r="AB150" s="182"/>
      <c r="AC150" s="182"/>
      <c r="AD150" s="182"/>
      <c r="AE150" s="182"/>
      <c r="AF150" s="182"/>
      <c r="AG150" s="182"/>
      <c r="AH150" s="182"/>
      <c r="AI150" s="182"/>
      <c r="AJ150" s="182"/>
      <c r="AK150" s="167"/>
      <c r="BY150" s="126" t="e">
        <f>#REF!</f>
        <v>#REF!</v>
      </c>
      <c r="BZ150" s="126">
        <v>0</v>
      </c>
      <c r="CA150" s="126">
        <v>0</v>
      </c>
      <c r="CB150" s="126">
        <v>0</v>
      </c>
      <c r="CC150" s="126">
        <v>0</v>
      </c>
      <c r="CD150" s="126">
        <v>0</v>
      </c>
      <c r="CE150" s="126">
        <v>0</v>
      </c>
      <c r="CF150" s="126">
        <v>0</v>
      </c>
      <c r="CG150" s="126">
        <v>0</v>
      </c>
      <c r="CH150" s="126">
        <v>0</v>
      </c>
      <c r="CI150" s="126" t="e">
        <f>#REF!</f>
        <v>#REF!</v>
      </c>
      <c r="CJ150" s="127"/>
      <c r="CK150" s="127"/>
      <c r="CL150" s="127"/>
    </row>
    <row r="151" spans="1:90" ht="15" customHeight="1" x14ac:dyDescent="0.2">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BY151" s="126" t="e">
        <f>#REF!</f>
        <v>#REF!</v>
      </c>
      <c r="BZ151" s="126">
        <v>0</v>
      </c>
      <c r="CA151" s="126">
        <v>0</v>
      </c>
      <c r="CB151" s="126">
        <v>0</v>
      </c>
      <c r="CC151" s="126">
        <v>0</v>
      </c>
      <c r="CD151" s="126">
        <v>0</v>
      </c>
      <c r="CE151" s="126">
        <v>0</v>
      </c>
      <c r="CF151" s="126">
        <v>0</v>
      </c>
      <c r="CG151" s="126">
        <v>0</v>
      </c>
      <c r="CH151" s="126">
        <v>0</v>
      </c>
      <c r="CI151" s="126" t="e">
        <f>#REF!</f>
        <v>#REF!</v>
      </c>
    </row>
    <row r="152" spans="1:90" s="14" customFormat="1" ht="21" customHeight="1" x14ac:dyDescent="0.2">
      <c r="A152" s="185" t="s">
        <v>61</v>
      </c>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c r="AF152" s="186"/>
      <c r="AG152" s="186"/>
      <c r="AH152" s="186"/>
      <c r="AI152" s="186"/>
      <c r="AJ152" s="186"/>
      <c r="AK152" s="187"/>
      <c r="BY152" s="126" t="e">
        <f>#REF!</f>
        <v>#REF!</v>
      </c>
      <c r="BZ152" s="126">
        <v>0</v>
      </c>
      <c r="CA152" s="126">
        <v>0</v>
      </c>
      <c r="CB152" s="126">
        <v>0</v>
      </c>
      <c r="CC152" s="126">
        <v>0</v>
      </c>
      <c r="CD152" s="126">
        <v>0</v>
      </c>
      <c r="CE152" s="126">
        <v>0</v>
      </c>
      <c r="CF152" s="126">
        <v>0</v>
      </c>
      <c r="CG152" s="126">
        <v>0</v>
      </c>
      <c r="CH152" s="126">
        <v>0</v>
      </c>
      <c r="CI152" s="126" t="e">
        <f>#REF!</f>
        <v>#REF!</v>
      </c>
      <c r="CJ152" s="127"/>
      <c r="CK152" s="127"/>
      <c r="CL152" s="127"/>
    </row>
    <row r="153" spans="1:90" s="14" customFormat="1" ht="30" customHeight="1" x14ac:dyDescent="0.2">
      <c r="A153" s="98"/>
      <c r="B153" s="206" t="str">
        <f>IF(CB153&lt;&gt;0,CB153,"")</f>
        <v>申込みの際は、本申込書に加え別途「申込書補足情報」のご提出をお願いいたします</v>
      </c>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c r="AA153" s="206"/>
      <c r="AB153" s="206"/>
      <c r="AC153" s="206"/>
      <c r="AD153" s="206"/>
      <c r="AE153" s="206"/>
      <c r="AF153" s="206"/>
      <c r="AG153" s="206"/>
      <c r="AH153" s="206"/>
      <c r="AI153" s="206"/>
      <c r="AJ153" s="206"/>
      <c r="AK153" s="130"/>
      <c r="BY153" s="126" t="e">
        <f>#REF!</f>
        <v>#REF!</v>
      </c>
      <c r="BZ153" s="126">
        <v>0</v>
      </c>
      <c r="CA153" s="126">
        <v>0</v>
      </c>
      <c r="CB153" s="126" t="s">
        <v>271</v>
      </c>
      <c r="CC153" s="126">
        <v>0</v>
      </c>
      <c r="CD153" s="126">
        <v>0</v>
      </c>
      <c r="CE153" s="126">
        <v>0</v>
      </c>
      <c r="CF153" s="126">
        <v>0</v>
      </c>
      <c r="CG153" s="126">
        <v>0</v>
      </c>
      <c r="CH153" s="126">
        <v>0</v>
      </c>
      <c r="CI153" s="126" t="e">
        <f>#REF!</f>
        <v>#REF!</v>
      </c>
      <c r="CJ153" s="127"/>
      <c r="CK153" s="127"/>
      <c r="CL153" s="127"/>
    </row>
    <row r="154" spans="1:90" s="14" customFormat="1" ht="80.099999999999994" hidden="1" customHeight="1" x14ac:dyDescent="0.2">
      <c r="A154" s="98"/>
      <c r="B154" s="206" t="str">
        <f t="shared" ref="B154:B163" si="17">IF(CB154&lt;&gt;0,CB154,"")</f>
        <v>＜Atlassian製品内訳＞
・Cloud サイト名：
・
・</v>
      </c>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c r="AA154" s="206"/>
      <c r="AB154" s="206"/>
      <c r="AC154" s="206"/>
      <c r="AD154" s="206"/>
      <c r="AE154" s="206"/>
      <c r="AF154" s="206"/>
      <c r="AG154" s="206"/>
      <c r="AH154" s="206"/>
      <c r="AI154" s="206"/>
      <c r="AJ154" s="206"/>
      <c r="AK154" s="130"/>
      <c r="BY154" s="126" t="e">
        <f>#REF!</f>
        <v>#REF!</v>
      </c>
      <c r="BZ154" s="126">
        <v>0</v>
      </c>
      <c r="CA154" s="126" t="s">
        <v>47</v>
      </c>
      <c r="CB154" s="126" t="s">
        <v>272</v>
      </c>
      <c r="CC154" s="126">
        <v>0</v>
      </c>
      <c r="CD154" s="126">
        <v>0</v>
      </c>
      <c r="CE154" s="126">
        <v>0</v>
      </c>
      <c r="CF154" s="126">
        <v>0</v>
      </c>
      <c r="CG154" s="126">
        <v>0</v>
      </c>
      <c r="CH154" s="126">
        <v>0</v>
      </c>
      <c r="CI154" s="126"/>
      <c r="CJ154" s="127"/>
      <c r="CK154" s="127"/>
      <c r="CL154" s="127"/>
    </row>
    <row r="155" spans="1:90" s="14" customFormat="1" ht="65.099999999999994" hidden="1" customHeight="1" x14ac:dyDescent="0.2">
      <c r="A155" s="98"/>
      <c r="B155" s="206" t="str">
        <f t="shared" si="17"/>
        <v>＜シーメンス社のソフトウェアをご使用になるお客様へ＞
・本申込み後、シーメンス社からご担当者に案内メールが届きます
・メール本文に記載の同社Easy（Electronic Agreement System）サイトにアクセスして頂き、次のライセンス条件にオンラインで合意し署名していただきます
　「ユニバーサルカスタマー契約（UCA）」https://www.siemens.com/sw-terms/uca
　「補足条項（MDX）」https://www.siemens.com/sw-terms/supplements</v>
      </c>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c r="AA155" s="206"/>
      <c r="AB155" s="206"/>
      <c r="AC155" s="206"/>
      <c r="AD155" s="206"/>
      <c r="AE155" s="206"/>
      <c r="AF155" s="206"/>
      <c r="AG155" s="206"/>
      <c r="AH155" s="206"/>
      <c r="AI155" s="206"/>
      <c r="AJ155" s="206"/>
      <c r="AK155" s="130"/>
      <c r="BY155" s="142" t="e">
        <f>#REF!</f>
        <v>#REF!</v>
      </c>
      <c r="BZ155" s="142">
        <v>0</v>
      </c>
      <c r="CA155" s="142" t="s">
        <v>47</v>
      </c>
      <c r="CB155" s="142" t="s">
        <v>273</v>
      </c>
      <c r="CC155" s="142">
        <v>0</v>
      </c>
      <c r="CD155" s="142">
        <v>0</v>
      </c>
      <c r="CE155" s="142">
        <v>0</v>
      </c>
      <c r="CF155" s="142">
        <v>0</v>
      </c>
      <c r="CG155" s="142">
        <v>0</v>
      </c>
      <c r="CH155" s="142">
        <v>0</v>
      </c>
      <c r="CI155" s="142"/>
      <c r="CJ155" s="127"/>
      <c r="CK155" s="127"/>
      <c r="CL155" s="127"/>
    </row>
    <row r="156" spans="1:90" s="14" customFormat="1" ht="30" hidden="1" customHeight="1" x14ac:dyDescent="0.2">
      <c r="A156" s="98"/>
      <c r="B156" s="206" t="str">
        <f t="shared" si="17"/>
        <v>202X年XX月XX日付け二次販売代理店基本契約書、別紙１）に従い、当社は本製品が「サービス利用規約に基づいて提供されること」を了承する旨を
記載した書面を顧客より受領し、当該書面の写しをNRIに提出するものとします</v>
      </c>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c r="AA156" s="206"/>
      <c r="AB156" s="206"/>
      <c r="AC156" s="206"/>
      <c r="AD156" s="206"/>
      <c r="AE156" s="206"/>
      <c r="AF156" s="206"/>
      <c r="AG156" s="206"/>
      <c r="AH156" s="206"/>
      <c r="AI156" s="206"/>
      <c r="AJ156" s="206"/>
      <c r="AK156" s="130"/>
      <c r="BY156" s="126" t="e">
        <f>#REF!</f>
        <v>#REF!</v>
      </c>
      <c r="BZ156" s="126">
        <v>0</v>
      </c>
      <c r="CA156" s="126" t="s">
        <v>47</v>
      </c>
      <c r="CB156" s="126" t="s">
        <v>274</v>
      </c>
      <c r="CC156" s="126">
        <v>0</v>
      </c>
      <c r="CD156" s="126">
        <v>0</v>
      </c>
      <c r="CE156" s="126">
        <v>0</v>
      </c>
      <c r="CF156" s="126">
        <v>0</v>
      </c>
      <c r="CG156" s="126">
        <v>0</v>
      </c>
      <c r="CH156" s="126">
        <v>0</v>
      </c>
      <c r="CI156" s="126"/>
      <c r="CJ156" s="127"/>
      <c r="CK156" s="127"/>
      <c r="CL156" s="127"/>
    </row>
    <row r="157" spans="1:90" s="14" customFormat="1" ht="30" hidden="1" customHeight="1" x14ac:dyDescent="0.2">
      <c r="A157" s="98"/>
      <c r="B157" s="206" t="str">
        <f t="shared" si="17"/>
        <v/>
      </c>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c r="AA157" s="206"/>
      <c r="AB157" s="206"/>
      <c r="AC157" s="206"/>
      <c r="AD157" s="206"/>
      <c r="AE157" s="206"/>
      <c r="AF157" s="206"/>
      <c r="AG157" s="206"/>
      <c r="AH157" s="206"/>
      <c r="AI157" s="206"/>
      <c r="AJ157" s="206"/>
      <c r="AK157" s="130"/>
      <c r="BY157" s="126" t="e">
        <f>#REF!</f>
        <v>#REF!</v>
      </c>
      <c r="BZ157" s="126">
        <v>0</v>
      </c>
      <c r="CA157" s="126" t="s">
        <v>47</v>
      </c>
      <c r="CB157" s="126">
        <v>0</v>
      </c>
      <c r="CC157" s="126">
        <v>0</v>
      </c>
      <c r="CD157" s="126">
        <v>0</v>
      </c>
      <c r="CE157" s="126">
        <v>0</v>
      </c>
      <c r="CF157" s="126">
        <v>0</v>
      </c>
      <c r="CG157" s="126">
        <v>0</v>
      </c>
      <c r="CH157" s="126">
        <v>0</v>
      </c>
      <c r="CI157" s="126"/>
      <c r="CJ157" s="127"/>
      <c r="CK157" s="127"/>
      <c r="CL157" s="127"/>
    </row>
    <row r="158" spans="1:90" s="14" customFormat="1" ht="30" hidden="1" customHeight="1" x14ac:dyDescent="0.2">
      <c r="A158" s="98"/>
      <c r="B158" s="206" t="str">
        <f t="shared" si="17"/>
        <v/>
      </c>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c r="AA158" s="206"/>
      <c r="AB158" s="206"/>
      <c r="AC158" s="206"/>
      <c r="AD158" s="206"/>
      <c r="AE158" s="206"/>
      <c r="AF158" s="206"/>
      <c r="AG158" s="206"/>
      <c r="AH158" s="206"/>
      <c r="AI158" s="206"/>
      <c r="AJ158" s="206"/>
      <c r="AK158" s="130"/>
      <c r="BY158" s="126" t="e">
        <f>#REF!</f>
        <v>#REF!</v>
      </c>
      <c r="BZ158" s="126">
        <v>0</v>
      </c>
      <c r="CA158" s="126" t="s">
        <v>47</v>
      </c>
      <c r="CB158" s="126">
        <v>0</v>
      </c>
      <c r="CC158" s="126">
        <v>0</v>
      </c>
      <c r="CD158" s="126">
        <v>0</v>
      </c>
      <c r="CE158" s="126">
        <v>0</v>
      </c>
      <c r="CF158" s="126">
        <v>0</v>
      </c>
      <c r="CG158" s="126">
        <v>0</v>
      </c>
      <c r="CH158" s="126">
        <v>0</v>
      </c>
      <c r="CI158" s="126"/>
      <c r="CJ158" s="127"/>
      <c r="CK158" s="127"/>
      <c r="CL158" s="127"/>
    </row>
    <row r="159" spans="1:90" s="14" customFormat="1" ht="30" hidden="1" customHeight="1" x14ac:dyDescent="0.2">
      <c r="A159" s="96"/>
      <c r="B159" s="206" t="str">
        <f t="shared" si="17"/>
        <v/>
      </c>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c r="AA159" s="206"/>
      <c r="AB159" s="206"/>
      <c r="AC159" s="206"/>
      <c r="AD159" s="206"/>
      <c r="AE159" s="206"/>
      <c r="AF159" s="206"/>
      <c r="AG159" s="206"/>
      <c r="AH159" s="206"/>
      <c r="AI159" s="206"/>
      <c r="AJ159" s="206"/>
      <c r="AK159" s="130"/>
      <c r="BY159" s="126" t="e">
        <f>#REF!</f>
        <v>#REF!</v>
      </c>
      <c r="BZ159" s="126">
        <v>0</v>
      </c>
      <c r="CA159" s="126" t="s">
        <v>47</v>
      </c>
      <c r="CB159" s="126">
        <v>0</v>
      </c>
      <c r="CC159" s="126">
        <v>0</v>
      </c>
      <c r="CD159" s="126">
        <v>0</v>
      </c>
      <c r="CE159" s="126">
        <v>0</v>
      </c>
      <c r="CF159" s="126">
        <v>0</v>
      </c>
      <c r="CG159" s="126">
        <v>0</v>
      </c>
      <c r="CH159" s="126">
        <v>0</v>
      </c>
      <c r="CI159" s="126" t="e">
        <f>#REF!</f>
        <v>#REF!</v>
      </c>
      <c r="CJ159" s="127"/>
      <c r="CK159" s="127"/>
      <c r="CL159" s="127"/>
    </row>
    <row r="160" spans="1:90" s="14" customFormat="1" ht="30" hidden="1" customHeight="1" x14ac:dyDescent="0.2">
      <c r="A160" s="96"/>
      <c r="B160" s="206" t="str">
        <f t="shared" si="17"/>
        <v/>
      </c>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c r="AA160" s="206"/>
      <c r="AB160" s="206"/>
      <c r="AC160" s="206"/>
      <c r="AD160" s="206"/>
      <c r="AE160" s="206"/>
      <c r="AF160" s="206"/>
      <c r="AG160" s="206"/>
      <c r="AH160" s="206"/>
      <c r="AI160" s="206"/>
      <c r="AJ160" s="206"/>
      <c r="AK160" s="130"/>
      <c r="BY160" s="126" t="e">
        <f>#REF!</f>
        <v>#REF!</v>
      </c>
      <c r="BZ160" s="126">
        <v>0</v>
      </c>
      <c r="CA160" s="126" t="s">
        <v>47</v>
      </c>
      <c r="CB160" s="126">
        <v>0</v>
      </c>
      <c r="CC160" s="126">
        <v>0</v>
      </c>
      <c r="CD160" s="126">
        <v>0</v>
      </c>
      <c r="CE160" s="126">
        <v>0</v>
      </c>
      <c r="CF160" s="126">
        <v>0</v>
      </c>
      <c r="CG160" s="126">
        <v>0</v>
      </c>
      <c r="CH160" s="126">
        <v>0</v>
      </c>
      <c r="CI160" s="126" t="e">
        <f>#REF!</f>
        <v>#REF!</v>
      </c>
      <c r="CJ160" s="127"/>
      <c r="CK160" s="127"/>
      <c r="CL160" s="127"/>
    </row>
    <row r="161" spans="1:90" s="14" customFormat="1" ht="30" hidden="1" customHeight="1" x14ac:dyDescent="0.2">
      <c r="A161" s="96"/>
      <c r="B161" s="206" t="str">
        <f t="shared" si="17"/>
        <v/>
      </c>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c r="AA161" s="206"/>
      <c r="AB161" s="206"/>
      <c r="AC161" s="206"/>
      <c r="AD161" s="206"/>
      <c r="AE161" s="206"/>
      <c r="AF161" s="206"/>
      <c r="AG161" s="206"/>
      <c r="AH161" s="206"/>
      <c r="AI161" s="206"/>
      <c r="AJ161" s="206"/>
      <c r="AK161" s="130"/>
      <c r="BY161" s="126" t="e">
        <f>#REF!</f>
        <v>#REF!</v>
      </c>
      <c r="BZ161" s="126">
        <v>0</v>
      </c>
      <c r="CA161" s="126" t="s">
        <v>47</v>
      </c>
      <c r="CB161" s="126">
        <v>0</v>
      </c>
      <c r="CC161" s="126">
        <v>0</v>
      </c>
      <c r="CD161" s="126">
        <v>0</v>
      </c>
      <c r="CE161" s="126">
        <v>0</v>
      </c>
      <c r="CF161" s="126">
        <v>0</v>
      </c>
      <c r="CG161" s="126">
        <v>0</v>
      </c>
      <c r="CH161" s="126">
        <v>0</v>
      </c>
      <c r="CI161" s="126" t="e">
        <f>#REF!</f>
        <v>#REF!</v>
      </c>
      <c r="CJ161" s="127"/>
      <c r="CK161" s="127"/>
      <c r="CL161" s="127"/>
    </row>
    <row r="162" spans="1:90" s="14" customFormat="1" ht="30" hidden="1" customHeight="1" x14ac:dyDescent="0.2">
      <c r="A162" s="96"/>
      <c r="B162" s="206" t="str">
        <f t="shared" si="17"/>
        <v/>
      </c>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c r="AA162" s="206"/>
      <c r="AB162" s="206"/>
      <c r="AC162" s="206"/>
      <c r="AD162" s="206"/>
      <c r="AE162" s="206"/>
      <c r="AF162" s="206"/>
      <c r="AG162" s="206"/>
      <c r="AH162" s="206"/>
      <c r="AI162" s="206"/>
      <c r="AJ162" s="206"/>
      <c r="AK162" s="130"/>
      <c r="BY162" s="126" t="e">
        <f>#REF!</f>
        <v>#REF!</v>
      </c>
      <c r="BZ162" s="126">
        <v>0</v>
      </c>
      <c r="CA162" s="126" t="s">
        <v>47</v>
      </c>
      <c r="CB162" s="126">
        <v>0</v>
      </c>
      <c r="CC162" s="126">
        <v>0</v>
      </c>
      <c r="CD162" s="126">
        <v>0</v>
      </c>
      <c r="CE162" s="126">
        <v>0</v>
      </c>
      <c r="CF162" s="126">
        <v>0</v>
      </c>
      <c r="CG162" s="126">
        <v>0</v>
      </c>
      <c r="CH162" s="126">
        <v>0</v>
      </c>
      <c r="CI162" s="126" t="e">
        <f>#REF!</f>
        <v>#REF!</v>
      </c>
      <c r="CJ162" s="127"/>
      <c r="CK162" s="127"/>
      <c r="CL162" s="127"/>
    </row>
    <row r="163" spans="1:90" s="14" customFormat="1" ht="30" hidden="1" customHeight="1" x14ac:dyDescent="0.2">
      <c r="A163" s="96"/>
      <c r="B163" s="206" t="str">
        <f t="shared" si="17"/>
        <v/>
      </c>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6"/>
      <c r="AC163" s="206"/>
      <c r="AD163" s="206"/>
      <c r="AE163" s="206"/>
      <c r="AF163" s="206"/>
      <c r="AG163" s="206"/>
      <c r="AH163" s="206"/>
      <c r="AI163" s="206"/>
      <c r="AJ163" s="206"/>
      <c r="AK163" s="130"/>
      <c r="BY163" s="126" t="e">
        <f>#REF!</f>
        <v>#REF!</v>
      </c>
      <c r="BZ163" s="126">
        <v>0</v>
      </c>
      <c r="CA163" s="126" t="s">
        <v>47</v>
      </c>
      <c r="CB163" s="126">
        <v>0</v>
      </c>
      <c r="CC163" s="126">
        <v>0</v>
      </c>
      <c r="CD163" s="126">
        <v>0</v>
      </c>
      <c r="CE163" s="126">
        <v>0</v>
      </c>
      <c r="CF163" s="126">
        <v>0</v>
      </c>
      <c r="CG163" s="126">
        <v>0</v>
      </c>
      <c r="CH163" s="126">
        <v>0</v>
      </c>
      <c r="CI163" s="126" t="e">
        <f>#REF!</f>
        <v>#REF!</v>
      </c>
      <c r="CJ163" s="127"/>
      <c r="CK163" s="127"/>
      <c r="CL163" s="127"/>
    </row>
    <row r="164" spans="1:90" s="14" customFormat="1" ht="2.1" customHeight="1" x14ac:dyDescent="0.2">
      <c r="A164" s="97"/>
      <c r="B164" s="207">
        <f t="shared" ref="B164" si="18">CB164</f>
        <v>0</v>
      </c>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7"/>
      <c r="AH164" s="207"/>
      <c r="AI164" s="207"/>
      <c r="AJ164" s="207"/>
      <c r="AK164" s="131"/>
      <c r="BY164" s="126" t="e">
        <f>#REF!</f>
        <v>#REF!</v>
      </c>
      <c r="BZ164" s="126">
        <v>0</v>
      </c>
      <c r="CA164" s="126">
        <v>0</v>
      </c>
      <c r="CB164" s="126">
        <v>0</v>
      </c>
      <c r="CC164" s="126">
        <v>0</v>
      </c>
      <c r="CD164" s="126">
        <v>0</v>
      </c>
      <c r="CE164" s="126">
        <v>0</v>
      </c>
      <c r="CF164" s="126">
        <v>0</v>
      </c>
      <c r="CG164" s="126">
        <v>0</v>
      </c>
      <c r="CH164" s="126">
        <v>0</v>
      </c>
      <c r="CI164" s="126" t="e">
        <f>#REF!</f>
        <v>#REF!</v>
      </c>
      <c r="CJ164" s="127"/>
      <c r="CK164" s="127"/>
      <c r="CL164" s="127"/>
    </row>
    <row r="165" spans="1:90" ht="8.1" customHeight="1" x14ac:dyDescent="0.2">
      <c r="A165" s="25"/>
      <c r="B165" s="26"/>
      <c r="C165" s="26"/>
      <c r="D165" s="26"/>
      <c r="E165" s="26"/>
      <c r="F165" s="49"/>
      <c r="G165" s="49"/>
      <c r="H165" s="49"/>
      <c r="I165" s="49"/>
      <c r="J165" s="49"/>
      <c r="K165" s="49"/>
      <c r="L165" s="49"/>
      <c r="M165" s="26"/>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188"/>
      <c r="AK165" s="188"/>
      <c r="BY165" s="126" t="e">
        <f>#REF!</f>
        <v>#REF!</v>
      </c>
      <c r="BZ165" s="126">
        <v>0</v>
      </c>
      <c r="CA165" s="126">
        <v>0</v>
      </c>
      <c r="CB165" s="126">
        <v>0</v>
      </c>
      <c r="CC165" s="126">
        <v>0</v>
      </c>
      <c r="CD165" s="126">
        <v>0</v>
      </c>
      <c r="CE165" s="126">
        <v>0</v>
      </c>
      <c r="CF165" s="126">
        <v>0</v>
      </c>
      <c r="CG165" s="126">
        <v>0</v>
      </c>
      <c r="CH165" s="126">
        <v>0</v>
      </c>
      <c r="CI165" s="126" t="e">
        <f>#REF!</f>
        <v>#REF!</v>
      </c>
    </row>
    <row r="166" spans="1:90" ht="18" customHeight="1" x14ac:dyDescent="0.2">
      <c r="A166" s="109" t="s">
        <v>73</v>
      </c>
      <c r="B166" s="69"/>
      <c r="C166" s="69"/>
      <c r="D166" s="69"/>
      <c r="E166" s="69"/>
      <c r="F166" s="69"/>
      <c r="G166" s="69"/>
      <c r="H166" s="69"/>
      <c r="I166" s="69"/>
      <c r="J166" s="69"/>
      <c r="K166" s="69"/>
      <c r="L166" s="69"/>
      <c r="M166" s="69"/>
      <c r="N166" s="69"/>
      <c r="O166" s="69"/>
      <c r="P166" s="69"/>
      <c r="Q166" s="69"/>
      <c r="R166" s="69"/>
      <c r="S166" s="69"/>
      <c r="T166" s="69"/>
      <c r="U166" s="69"/>
      <c r="V166" s="69"/>
      <c r="W166" s="69"/>
      <c r="X166" s="51"/>
      <c r="Y166" s="51"/>
      <c r="Z166" s="51"/>
      <c r="AA166" s="51"/>
      <c r="AB166" s="51"/>
      <c r="AC166" s="51"/>
      <c r="AD166" s="51"/>
      <c r="AE166" s="51"/>
      <c r="AF166" s="51"/>
      <c r="AG166" s="51"/>
      <c r="AH166" s="51"/>
      <c r="AI166" s="51"/>
      <c r="AJ166" s="51"/>
      <c r="AK166" s="51"/>
      <c r="BY166" s="126" t="e">
        <f>#REF!</f>
        <v>#REF!</v>
      </c>
      <c r="BZ166" s="126">
        <v>0</v>
      </c>
      <c r="CA166" s="126">
        <v>0</v>
      </c>
      <c r="CB166" s="126">
        <v>0</v>
      </c>
      <c r="CC166" s="126">
        <v>0</v>
      </c>
      <c r="CD166" s="126">
        <v>0</v>
      </c>
      <c r="CE166" s="126">
        <v>0</v>
      </c>
      <c r="CF166" s="126">
        <v>0</v>
      </c>
      <c r="CG166" s="126">
        <v>0</v>
      </c>
      <c r="CH166" s="126">
        <v>0</v>
      </c>
      <c r="CI166" s="126" t="e">
        <f>#REF!</f>
        <v>#REF!</v>
      </c>
    </row>
    <row r="167" spans="1:90" ht="18" customHeight="1" x14ac:dyDescent="0.2">
      <c r="A167" s="115" t="s">
        <v>1</v>
      </c>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51"/>
      <c r="AG167" s="51"/>
      <c r="AH167" s="51"/>
      <c r="AI167" s="51"/>
      <c r="AJ167" s="51"/>
      <c r="AK167" s="51"/>
      <c r="BY167" s="126" t="e">
        <f>#REF!</f>
        <v>#REF!</v>
      </c>
      <c r="BZ167" s="126">
        <v>0</v>
      </c>
      <c r="CA167" s="126">
        <v>0</v>
      </c>
      <c r="CB167" s="126">
        <v>0</v>
      </c>
      <c r="CC167" s="126">
        <v>0</v>
      </c>
      <c r="CD167" s="126">
        <v>0</v>
      </c>
      <c r="CE167" s="126">
        <v>0</v>
      </c>
      <c r="CF167" s="126">
        <v>0</v>
      </c>
      <c r="CG167" s="126">
        <v>0</v>
      </c>
      <c r="CH167" s="126">
        <v>0</v>
      </c>
      <c r="CI167" s="126" t="e">
        <f>#REF!</f>
        <v>#REF!</v>
      </c>
    </row>
    <row r="168" spans="1:90" ht="18" customHeight="1" x14ac:dyDescent="0.2">
      <c r="A168" s="189" t="s">
        <v>62</v>
      </c>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69"/>
      <c r="AF168" s="51"/>
      <c r="AG168" s="51"/>
      <c r="AH168" s="51"/>
      <c r="AI168" s="51"/>
      <c r="AJ168" s="51"/>
      <c r="AK168" s="51"/>
      <c r="BY168" s="126" t="e">
        <f>#REF!</f>
        <v>#REF!</v>
      </c>
      <c r="BZ168" s="126">
        <v>0</v>
      </c>
      <c r="CA168" s="126">
        <v>0</v>
      </c>
      <c r="CB168" s="126">
        <v>0</v>
      </c>
      <c r="CC168" s="126">
        <v>0</v>
      </c>
      <c r="CD168" s="126">
        <v>0</v>
      </c>
      <c r="CE168" s="126">
        <v>0</v>
      </c>
      <c r="CF168" s="126">
        <v>0</v>
      </c>
      <c r="CG168" s="126">
        <v>0</v>
      </c>
      <c r="CH168" s="126">
        <v>0</v>
      </c>
      <c r="CI168" s="126" t="e">
        <f>#REF!</f>
        <v>#REF!</v>
      </c>
    </row>
    <row r="169" spans="1:90" ht="18" customHeight="1" x14ac:dyDescent="0.2">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c r="AA169" s="189"/>
      <c r="AB169" s="189"/>
      <c r="AC169" s="189"/>
      <c r="AD169" s="189"/>
      <c r="AE169" s="69"/>
      <c r="AF169" s="51"/>
      <c r="AG169" s="51"/>
      <c r="AH169" s="51"/>
      <c r="AI169" s="51"/>
      <c r="AJ169" s="51"/>
      <c r="AK169" s="51"/>
      <c r="BY169" s="126" t="e">
        <f>#REF!</f>
        <v>#REF!</v>
      </c>
      <c r="BZ169" s="126">
        <v>0</v>
      </c>
      <c r="CA169" s="126">
        <v>0</v>
      </c>
      <c r="CB169" s="126">
        <v>0</v>
      </c>
      <c r="CC169" s="126">
        <v>0</v>
      </c>
      <c r="CD169" s="126">
        <v>0</v>
      </c>
      <c r="CE169" s="126">
        <v>0</v>
      </c>
      <c r="CF169" s="126">
        <v>0</v>
      </c>
      <c r="CG169" s="126">
        <v>0</v>
      </c>
      <c r="CH169" s="126">
        <v>0</v>
      </c>
      <c r="CI169" s="126" t="e">
        <f>#REF!</f>
        <v>#REF!</v>
      </c>
    </row>
    <row r="170" spans="1:90" ht="18" customHeight="1" x14ac:dyDescent="0.2">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c r="AA170" s="189"/>
      <c r="AB170" s="189"/>
      <c r="AC170" s="189"/>
      <c r="AD170" s="189"/>
      <c r="AE170" s="69"/>
      <c r="AF170" s="51"/>
      <c r="AG170" s="51"/>
      <c r="AH170" s="51"/>
      <c r="AI170" s="51"/>
      <c r="AJ170" s="51"/>
      <c r="AK170" s="51"/>
      <c r="BY170" s="126" t="e">
        <f>#REF!</f>
        <v>#REF!</v>
      </c>
      <c r="BZ170" s="126">
        <v>0</v>
      </c>
      <c r="CA170" s="126">
        <v>0</v>
      </c>
      <c r="CB170" s="126">
        <v>0</v>
      </c>
      <c r="CC170" s="126">
        <v>0</v>
      </c>
      <c r="CD170" s="126">
        <v>0</v>
      </c>
      <c r="CE170" s="126">
        <v>0</v>
      </c>
      <c r="CF170" s="126">
        <v>0</v>
      </c>
      <c r="CG170" s="126">
        <v>0</v>
      </c>
      <c r="CH170" s="126">
        <v>0</v>
      </c>
      <c r="CI170" s="126" t="e">
        <f>#REF!</f>
        <v>#REF!</v>
      </c>
    </row>
    <row r="171" spans="1:90" ht="18" customHeight="1" x14ac:dyDescent="0.2">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c r="AA171" s="189"/>
      <c r="AB171" s="189"/>
      <c r="AC171" s="189"/>
      <c r="AD171" s="189"/>
      <c r="AE171" s="69"/>
      <c r="AF171" s="51"/>
      <c r="AG171" s="51"/>
      <c r="AH171" s="51"/>
      <c r="AI171" s="51"/>
      <c r="AJ171" s="51"/>
      <c r="AK171" s="51"/>
      <c r="BY171" s="126" t="e">
        <f>#REF!</f>
        <v>#REF!</v>
      </c>
      <c r="BZ171" s="126">
        <v>0</v>
      </c>
      <c r="CA171" s="126">
        <v>0</v>
      </c>
      <c r="CB171" s="126">
        <v>0</v>
      </c>
      <c r="CC171" s="126">
        <v>0</v>
      </c>
      <c r="CD171" s="126">
        <v>0</v>
      </c>
      <c r="CE171" s="126">
        <v>0</v>
      </c>
      <c r="CF171" s="126">
        <v>0</v>
      </c>
      <c r="CG171" s="126">
        <v>0</v>
      </c>
      <c r="CH171" s="126">
        <v>0</v>
      </c>
      <c r="CI171" s="126" t="e">
        <f>#REF!</f>
        <v>#REF!</v>
      </c>
    </row>
    <row r="172" spans="1:90" ht="18" customHeight="1" x14ac:dyDescent="0.2">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c r="AA172" s="189"/>
      <c r="AB172" s="189"/>
      <c r="AC172" s="189"/>
      <c r="AD172" s="189"/>
      <c r="AE172" s="69"/>
      <c r="AF172" s="51"/>
      <c r="AG172" s="51"/>
      <c r="AH172" s="51"/>
      <c r="AI172" s="51"/>
      <c r="AJ172" s="51"/>
      <c r="AK172" s="51"/>
      <c r="BY172" s="126" t="e">
        <f>#REF!</f>
        <v>#REF!</v>
      </c>
      <c r="BZ172" s="126">
        <v>0</v>
      </c>
      <c r="CA172" s="126">
        <v>0</v>
      </c>
      <c r="CB172" s="126">
        <v>0</v>
      </c>
      <c r="CC172" s="126">
        <v>0</v>
      </c>
      <c r="CD172" s="126">
        <v>0</v>
      </c>
      <c r="CE172" s="126">
        <v>0</v>
      </c>
      <c r="CF172" s="126">
        <v>0</v>
      </c>
      <c r="CG172" s="126">
        <v>0</v>
      </c>
      <c r="CH172" s="126">
        <v>0</v>
      </c>
      <c r="CI172" s="126" t="e">
        <f>#REF!</f>
        <v>#REF!</v>
      </c>
    </row>
    <row r="173" spans="1:90" ht="18" customHeight="1" x14ac:dyDescent="0.2">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BY173" s="126" t="e">
        <f>#REF!</f>
        <v>#REF!</v>
      </c>
      <c r="BZ173" s="126">
        <v>0</v>
      </c>
      <c r="CA173" s="126">
        <v>0</v>
      </c>
      <c r="CB173" s="126">
        <v>0</v>
      </c>
      <c r="CC173" s="126">
        <v>0</v>
      </c>
      <c r="CD173" s="126">
        <v>0</v>
      </c>
      <c r="CE173" s="126">
        <v>0</v>
      </c>
      <c r="CF173" s="126">
        <v>0</v>
      </c>
      <c r="CG173" s="126">
        <v>0</v>
      </c>
      <c r="CH173" s="126">
        <v>0</v>
      </c>
      <c r="CI173" s="126" t="e">
        <f>#REF!</f>
        <v>#REF!</v>
      </c>
    </row>
    <row r="174" spans="1:90" ht="18" customHeight="1" x14ac:dyDescent="0.2">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BZ174" s="126">
        <v>0</v>
      </c>
      <c r="CA174" s="126">
        <v>0</v>
      </c>
      <c r="CB174" s="126">
        <v>0</v>
      </c>
      <c r="CC174" s="126">
        <v>0</v>
      </c>
      <c r="CD174" s="126">
        <v>0</v>
      </c>
      <c r="CE174" s="126">
        <v>0</v>
      </c>
      <c r="CF174" s="126">
        <v>0</v>
      </c>
      <c r="CG174" s="126">
        <v>0</v>
      </c>
      <c r="CH174" s="126">
        <v>0</v>
      </c>
      <c r="CI174" s="126" t="e">
        <f>#REF!</f>
        <v>#REF!</v>
      </c>
    </row>
    <row r="175" spans="1:90" ht="18" customHeight="1" x14ac:dyDescent="0.2">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BZ175" s="126">
        <v>0</v>
      </c>
      <c r="CA175" s="126">
        <v>0</v>
      </c>
      <c r="CB175" s="126">
        <v>0</v>
      </c>
      <c r="CC175" s="126">
        <v>0</v>
      </c>
      <c r="CD175" s="126">
        <v>0</v>
      </c>
      <c r="CE175" s="126">
        <v>0</v>
      </c>
      <c r="CF175" s="126">
        <v>0</v>
      </c>
      <c r="CG175" s="126">
        <v>0</v>
      </c>
      <c r="CH175" s="126">
        <v>0</v>
      </c>
      <c r="CI175" s="126" t="e">
        <f>#REF!</f>
        <v>#REF!</v>
      </c>
    </row>
    <row r="176" spans="1:90" ht="18" customHeight="1" x14ac:dyDescent="0.2">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BZ176" s="126">
        <v>0</v>
      </c>
      <c r="CA176" s="126">
        <v>0</v>
      </c>
      <c r="CB176" s="126">
        <v>0</v>
      </c>
      <c r="CC176" s="126">
        <v>0</v>
      </c>
      <c r="CD176" s="126">
        <v>0</v>
      </c>
      <c r="CE176" s="126">
        <v>0</v>
      </c>
      <c r="CF176" s="126">
        <v>0</v>
      </c>
      <c r="CG176" s="126">
        <v>0</v>
      </c>
      <c r="CH176" s="126">
        <v>0</v>
      </c>
      <c r="CI176" s="126" t="e">
        <f>#REF!</f>
        <v>#REF!</v>
      </c>
    </row>
    <row r="177" spans="1:87" ht="18" customHeight="1" x14ac:dyDescent="0.2">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BZ177" s="126">
        <v>0</v>
      </c>
      <c r="CA177" s="126">
        <v>0</v>
      </c>
      <c r="CB177" s="126">
        <v>0</v>
      </c>
      <c r="CC177" s="126">
        <v>0</v>
      </c>
      <c r="CD177" s="126">
        <v>0</v>
      </c>
      <c r="CE177" s="126">
        <v>0</v>
      </c>
      <c r="CF177" s="126">
        <v>0</v>
      </c>
      <c r="CG177" s="126">
        <v>0</v>
      </c>
      <c r="CH177" s="126">
        <v>0</v>
      </c>
      <c r="CI177" s="126" t="e">
        <f>#REF!</f>
        <v>#REF!</v>
      </c>
    </row>
    <row r="178" spans="1:87" ht="18" customHeight="1" x14ac:dyDescent="0.2">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BZ178" s="126">
        <v>0</v>
      </c>
      <c r="CA178" s="126">
        <v>0</v>
      </c>
      <c r="CB178" s="126">
        <v>0</v>
      </c>
      <c r="CC178" s="126">
        <v>0</v>
      </c>
      <c r="CD178" s="126">
        <v>0</v>
      </c>
      <c r="CE178" s="126">
        <v>0</v>
      </c>
      <c r="CF178" s="126">
        <v>0</v>
      </c>
      <c r="CG178" s="126">
        <v>0</v>
      </c>
      <c r="CH178" s="126">
        <v>0</v>
      </c>
      <c r="CI178" s="126" t="e">
        <f>#REF!</f>
        <v>#REF!</v>
      </c>
    </row>
    <row r="179" spans="1:87" ht="18" customHeight="1" x14ac:dyDescent="0.2">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BZ179" s="126">
        <v>0</v>
      </c>
      <c r="CA179" s="126">
        <v>0</v>
      </c>
      <c r="CB179" s="126">
        <v>0</v>
      </c>
      <c r="CC179" s="126">
        <v>0</v>
      </c>
      <c r="CD179" s="126">
        <v>0</v>
      </c>
      <c r="CE179" s="126">
        <v>0</v>
      </c>
      <c r="CF179" s="126">
        <v>0</v>
      </c>
      <c r="CG179" s="126">
        <v>0</v>
      </c>
      <c r="CH179" s="126">
        <v>0</v>
      </c>
      <c r="CI179" s="126" t="e">
        <f>#REF!</f>
        <v>#REF!</v>
      </c>
    </row>
    <row r="180" spans="1:87" ht="18" customHeight="1" x14ac:dyDescent="0.2">
      <c r="A180" s="24"/>
      <c r="B180" s="21"/>
      <c r="C180" s="21"/>
      <c r="D180" s="21"/>
      <c r="E180" s="21"/>
      <c r="F180" s="21"/>
      <c r="G180" s="21"/>
      <c r="H180" s="22"/>
      <c r="I180" s="22"/>
      <c r="J180" s="22"/>
      <c r="K180" s="22"/>
      <c r="L180" s="22"/>
      <c r="M180" s="21"/>
      <c r="N180" s="22"/>
      <c r="O180" s="22"/>
      <c r="P180" s="22"/>
      <c r="Q180" s="22"/>
      <c r="R180" s="22"/>
      <c r="S180" s="22"/>
      <c r="T180" s="22"/>
      <c r="U180" s="22"/>
      <c r="V180" s="21"/>
      <c r="W180" s="21"/>
      <c r="X180" s="21"/>
      <c r="Y180" s="21"/>
      <c r="Z180" s="22"/>
      <c r="AA180" s="22"/>
      <c r="AB180" s="22"/>
      <c r="AC180" s="22"/>
      <c r="AD180" s="22"/>
      <c r="AE180" s="22"/>
      <c r="AF180" s="22"/>
      <c r="AG180" s="22"/>
      <c r="AH180" s="22"/>
      <c r="AI180" s="22"/>
      <c r="AJ180" s="23"/>
      <c r="BZ180" s="126">
        <v>0</v>
      </c>
      <c r="CA180" s="126">
        <v>0</v>
      </c>
      <c r="CB180" s="126">
        <v>0</v>
      </c>
      <c r="CC180" s="126">
        <v>0</v>
      </c>
      <c r="CD180" s="126">
        <v>0</v>
      </c>
      <c r="CE180" s="126">
        <v>0</v>
      </c>
      <c r="CF180" s="126">
        <v>0</v>
      </c>
      <c r="CG180" s="126">
        <v>0</v>
      </c>
      <c r="CH180" s="126">
        <v>0</v>
      </c>
      <c r="CI180" s="126" t="e">
        <f>#REF!</f>
        <v>#REF!</v>
      </c>
    </row>
    <row r="181" spans="1:87" ht="18" customHeight="1" x14ac:dyDescent="0.2">
      <c r="A181" s="24"/>
      <c r="B181" s="21"/>
      <c r="C181" s="21"/>
      <c r="D181" s="21"/>
      <c r="E181" s="21"/>
      <c r="F181" s="21"/>
      <c r="G181" s="21"/>
      <c r="H181" s="22"/>
      <c r="I181" s="22"/>
      <c r="J181" s="22"/>
      <c r="K181" s="22"/>
      <c r="L181" s="22"/>
      <c r="M181" s="21"/>
      <c r="N181" s="22"/>
      <c r="O181" s="22"/>
      <c r="P181" s="22"/>
      <c r="Q181" s="22"/>
      <c r="R181" s="22"/>
      <c r="S181" s="22"/>
      <c r="T181" s="22"/>
      <c r="U181" s="22"/>
      <c r="V181" s="21"/>
      <c r="W181" s="21"/>
      <c r="X181" s="21"/>
      <c r="Y181" s="21"/>
      <c r="Z181" s="22"/>
      <c r="AA181" s="22"/>
      <c r="AB181" s="22"/>
      <c r="AC181" s="22"/>
      <c r="AD181" s="22"/>
      <c r="AE181" s="22"/>
      <c r="AF181" s="22"/>
      <c r="AG181" s="22"/>
      <c r="AH181" s="22"/>
      <c r="AI181" s="22"/>
      <c r="AJ181" s="23"/>
      <c r="BZ181" s="126">
        <v>0</v>
      </c>
      <c r="CA181" s="126">
        <v>0</v>
      </c>
      <c r="CB181" s="126">
        <v>0</v>
      </c>
      <c r="CC181" s="126">
        <v>0</v>
      </c>
      <c r="CD181" s="126">
        <v>0</v>
      </c>
      <c r="CE181" s="126">
        <v>0</v>
      </c>
      <c r="CF181" s="126">
        <v>0</v>
      </c>
      <c r="CG181" s="126">
        <v>0</v>
      </c>
      <c r="CH181" s="126">
        <v>0</v>
      </c>
      <c r="CI181" s="126" t="e">
        <f>#REF!</f>
        <v>#REF!</v>
      </c>
    </row>
    <row r="182" spans="1:87" ht="18" customHeight="1" x14ac:dyDescent="0.2">
      <c r="A182" s="24"/>
      <c r="B182" s="21"/>
      <c r="C182" s="21"/>
      <c r="D182" s="21"/>
      <c r="E182" s="21"/>
      <c r="F182" s="21"/>
      <c r="G182" s="21"/>
      <c r="H182" s="22"/>
      <c r="I182" s="22"/>
      <c r="J182" s="22"/>
      <c r="K182" s="22"/>
      <c r="L182" s="22"/>
      <c r="M182" s="21"/>
      <c r="N182" s="22"/>
      <c r="O182" s="22"/>
      <c r="P182" s="22"/>
      <c r="Q182" s="22"/>
      <c r="R182" s="22"/>
      <c r="S182" s="22"/>
      <c r="T182" s="22"/>
      <c r="U182" s="22"/>
      <c r="V182" s="21"/>
      <c r="W182" s="21"/>
      <c r="X182" s="21"/>
      <c r="Y182" s="21"/>
      <c r="Z182" s="22"/>
      <c r="AA182" s="22"/>
      <c r="AB182" s="22"/>
      <c r="AC182" s="22"/>
      <c r="AD182" s="22"/>
      <c r="AE182" s="22"/>
      <c r="AF182" s="22"/>
      <c r="AG182" s="22"/>
      <c r="AH182" s="22"/>
      <c r="AI182" s="22"/>
      <c r="AJ182" s="23"/>
      <c r="BZ182" s="126">
        <v>0</v>
      </c>
      <c r="CA182" s="126">
        <v>0</v>
      </c>
      <c r="CB182" s="126">
        <v>0</v>
      </c>
      <c r="CC182" s="126">
        <v>0</v>
      </c>
      <c r="CD182" s="126">
        <v>0</v>
      </c>
      <c r="CE182" s="126">
        <v>0</v>
      </c>
      <c r="CF182" s="126">
        <v>0</v>
      </c>
      <c r="CG182" s="126">
        <v>0</v>
      </c>
      <c r="CH182" s="126">
        <v>0</v>
      </c>
      <c r="CI182" s="126" t="e">
        <f>#REF!</f>
        <v>#REF!</v>
      </c>
    </row>
    <row r="183" spans="1:87" ht="18" customHeight="1" x14ac:dyDescent="0.2">
      <c r="A183" s="24"/>
      <c r="B183" s="21"/>
      <c r="C183" s="21"/>
      <c r="D183" s="21"/>
      <c r="E183" s="21"/>
      <c r="F183" s="21"/>
      <c r="G183" s="21"/>
      <c r="H183" s="22"/>
      <c r="I183" s="22"/>
      <c r="J183" s="22"/>
      <c r="K183" s="22"/>
      <c r="L183" s="22"/>
      <c r="M183" s="21"/>
      <c r="N183" s="22"/>
      <c r="O183" s="22"/>
      <c r="P183" s="22"/>
      <c r="Q183" s="22"/>
      <c r="R183" s="22"/>
      <c r="S183" s="22"/>
      <c r="T183" s="22"/>
      <c r="U183" s="22"/>
      <c r="V183" s="21"/>
      <c r="W183" s="21"/>
      <c r="X183" s="21"/>
      <c r="Y183" s="21"/>
      <c r="Z183" s="22"/>
      <c r="AA183" s="22"/>
      <c r="AB183" s="22"/>
      <c r="AC183" s="22"/>
      <c r="AD183" s="22"/>
      <c r="AE183" s="22"/>
      <c r="AF183" s="22"/>
      <c r="AG183" s="22"/>
      <c r="AH183" s="22"/>
      <c r="AI183" s="22"/>
      <c r="AJ183" s="23"/>
      <c r="BZ183" s="126">
        <v>0</v>
      </c>
      <c r="CA183" s="126">
        <v>0</v>
      </c>
      <c r="CB183" s="126">
        <v>0</v>
      </c>
      <c r="CC183" s="126">
        <v>0</v>
      </c>
      <c r="CD183" s="126">
        <v>0</v>
      </c>
      <c r="CE183" s="126">
        <v>0</v>
      </c>
      <c r="CF183" s="126">
        <v>0</v>
      </c>
      <c r="CG183" s="126">
        <v>0</v>
      </c>
      <c r="CH183" s="126">
        <v>0</v>
      </c>
      <c r="CI183" s="126" t="e">
        <f>#REF!</f>
        <v>#REF!</v>
      </c>
    </row>
    <row r="184" spans="1:87" ht="18" customHeight="1" x14ac:dyDescent="0.2">
      <c r="A184" s="24"/>
      <c r="B184" s="21"/>
      <c r="C184" s="21"/>
      <c r="D184" s="21"/>
      <c r="E184" s="21"/>
      <c r="F184" s="21"/>
      <c r="G184" s="21"/>
      <c r="H184" s="22"/>
      <c r="I184" s="22"/>
      <c r="J184" s="22"/>
      <c r="K184" s="22"/>
      <c r="L184" s="22"/>
      <c r="M184" s="21"/>
      <c r="N184" s="22"/>
      <c r="O184" s="22"/>
      <c r="P184" s="22"/>
      <c r="Q184" s="22"/>
      <c r="R184" s="22"/>
      <c r="S184" s="22"/>
      <c r="T184" s="22"/>
      <c r="U184" s="22"/>
      <c r="V184" s="21"/>
      <c r="W184" s="21"/>
      <c r="X184" s="21"/>
      <c r="Y184" s="21"/>
      <c r="Z184" s="22"/>
      <c r="AA184" s="22"/>
      <c r="AB184" s="22"/>
      <c r="AC184" s="22"/>
      <c r="AD184" s="22"/>
      <c r="AE184" s="22"/>
      <c r="AF184" s="22"/>
      <c r="AG184" s="22"/>
      <c r="AH184" s="22"/>
      <c r="AI184" s="22"/>
      <c r="AJ184" s="23"/>
      <c r="BZ184" s="126">
        <v>0</v>
      </c>
      <c r="CA184" s="126">
        <v>0</v>
      </c>
      <c r="CB184" s="126">
        <v>0</v>
      </c>
      <c r="CC184" s="126">
        <v>0</v>
      </c>
      <c r="CD184" s="126">
        <v>0</v>
      </c>
      <c r="CE184" s="126">
        <v>0</v>
      </c>
      <c r="CF184" s="126">
        <v>0</v>
      </c>
      <c r="CG184" s="126">
        <v>0</v>
      </c>
      <c r="CH184" s="126">
        <v>0</v>
      </c>
      <c r="CI184" s="126" t="e">
        <f>#REF!</f>
        <v>#REF!</v>
      </c>
    </row>
    <row r="185" spans="1:87" ht="18" customHeight="1" x14ac:dyDescent="0.2">
      <c r="A185" s="24"/>
      <c r="B185" s="21"/>
      <c r="C185" s="21"/>
      <c r="D185" s="21"/>
      <c r="E185" s="21"/>
      <c r="F185" s="21"/>
      <c r="G185" s="21"/>
      <c r="H185" s="22"/>
      <c r="I185" s="22"/>
      <c r="J185" s="22"/>
      <c r="K185" s="22"/>
      <c r="L185" s="22"/>
      <c r="M185" s="21"/>
      <c r="N185" s="22"/>
      <c r="O185" s="22"/>
      <c r="P185" s="22"/>
      <c r="Q185" s="22"/>
      <c r="R185" s="22"/>
      <c r="S185" s="22"/>
      <c r="T185" s="22"/>
      <c r="U185" s="22"/>
      <c r="V185" s="21"/>
      <c r="W185" s="21"/>
      <c r="X185" s="21"/>
      <c r="Y185" s="21"/>
      <c r="Z185" s="22"/>
      <c r="AA185" s="22"/>
      <c r="AB185" s="22"/>
      <c r="AC185" s="22"/>
      <c r="AD185" s="22"/>
      <c r="AE185" s="22"/>
      <c r="AF185" s="22"/>
      <c r="AG185" s="22"/>
      <c r="AH185" s="22"/>
      <c r="AI185" s="22"/>
      <c r="AJ185" s="23"/>
      <c r="BZ185" s="126">
        <v>0</v>
      </c>
      <c r="CA185" s="126">
        <v>0</v>
      </c>
      <c r="CB185" s="126">
        <v>0</v>
      </c>
      <c r="CC185" s="126">
        <v>0</v>
      </c>
      <c r="CD185" s="126">
        <v>0</v>
      </c>
      <c r="CE185" s="126">
        <v>0</v>
      </c>
      <c r="CF185" s="126">
        <v>0</v>
      </c>
      <c r="CG185" s="126">
        <v>0</v>
      </c>
      <c r="CH185" s="126">
        <v>0</v>
      </c>
      <c r="CI185" s="126" t="e">
        <f>#REF!</f>
        <v>#REF!</v>
      </c>
    </row>
    <row r="186" spans="1:87" ht="18" customHeight="1" x14ac:dyDescent="0.2">
      <c r="A186" s="24"/>
      <c r="B186" s="21"/>
      <c r="C186" s="21"/>
      <c r="D186" s="21"/>
      <c r="E186" s="21"/>
      <c r="F186" s="21"/>
      <c r="G186" s="21"/>
      <c r="H186" s="22"/>
      <c r="I186" s="22"/>
      <c r="J186" s="22"/>
      <c r="K186" s="22"/>
      <c r="L186" s="22"/>
      <c r="M186" s="21"/>
      <c r="N186" s="22"/>
      <c r="O186" s="22"/>
      <c r="P186" s="22"/>
      <c r="Q186" s="22"/>
      <c r="R186" s="22"/>
      <c r="S186" s="22"/>
      <c r="T186" s="22"/>
      <c r="U186" s="22"/>
      <c r="V186" s="21"/>
      <c r="W186" s="21"/>
      <c r="X186" s="21"/>
      <c r="Y186" s="21"/>
      <c r="Z186" s="22"/>
      <c r="AA186" s="22"/>
      <c r="AB186" s="22"/>
      <c r="AC186" s="22"/>
      <c r="AD186" s="22"/>
      <c r="AE186" s="22"/>
      <c r="AF186" s="22"/>
      <c r="AG186" s="22"/>
      <c r="AH186" s="22"/>
      <c r="AI186" s="22"/>
      <c r="AJ186" s="23"/>
      <c r="BZ186" s="126">
        <v>0</v>
      </c>
      <c r="CA186" s="126">
        <v>0</v>
      </c>
      <c r="CB186" s="126">
        <v>0</v>
      </c>
      <c r="CC186" s="126">
        <v>0</v>
      </c>
      <c r="CD186" s="126">
        <v>0</v>
      </c>
      <c r="CE186" s="126">
        <v>0</v>
      </c>
      <c r="CF186" s="126">
        <v>0</v>
      </c>
      <c r="CG186" s="126">
        <v>0</v>
      </c>
      <c r="CH186" s="126">
        <v>0</v>
      </c>
      <c r="CI186" s="126" t="e">
        <f>#REF!</f>
        <v>#REF!</v>
      </c>
    </row>
    <row r="187" spans="1:87" ht="18" customHeight="1" x14ac:dyDescent="0.2">
      <c r="A187" s="24"/>
      <c r="B187" s="21"/>
      <c r="C187" s="21"/>
      <c r="D187" s="21"/>
      <c r="E187" s="21"/>
      <c r="F187" s="21"/>
      <c r="G187" s="21"/>
      <c r="H187" s="22"/>
      <c r="I187" s="22"/>
      <c r="J187" s="22"/>
      <c r="K187" s="22"/>
      <c r="L187" s="22"/>
      <c r="M187" s="21"/>
      <c r="N187" s="22"/>
      <c r="O187" s="22"/>
      <c r="P187" s="22"/>
      <c r="Q187" s="22"/>
      <c r="R187" s="22"/>
      <c r="S187" s="22"/>
      <c r="T187" s="22"/>
      <c r="U187" s="22"/>
      <c r="V187" s="21"/>
      <c r="W187" s="21"/>
      <c r="X187" s="21"/>
      <c r="Y187" s="21"/>
      <c r="Z187" s="22"/>
      <c r="AA187" s="22"/>
      <c r="AB187" s="22"/>
      <c r="AC187" s="22"/>
      <c r="AD187" s="22"/>
      <c r="AE187" s="22"/>
      <c r="AF187" s="22"/>
      <c r="AG187" s="22"/>
      <c r="AH187" s="22"/>
      <c r="AI187" s="22"/>
      <c r="AJ187" s="23"/>
      <c r="BZ187" s="126">
        <v>0</v>
      </c>
      <c r="CA187" s="126">
        <v>0</v>
      </c>
      <c r="CB187" s="126">
        <v>0</v>
      </c>
      <c r="CC187" s="126">
        <v>0</v>
      </c>
      <c r="CD187" s="126">
        <v>0</v>
      </c>
      <c r="CE187" s="126">
        <v>0</v>
      </c>
      <c r="CF187" s="126">
        <v>0</v>
      </c>
      <c r="CG187" s="126">
        <v>0</v>
      </c>
      <c r="CH187" s="126">
        <v>0</v>
      </c>
      <c r="CI187" s="126" t="e">
        <f>#REF!</f>
        <v>#REF!</v>
      </c>
    </row>
    <row r="188" spans="1:87" ht="18" customHeight="1" x14ac:dyDescent="0.2">
      <c r="A188" s="24"/>
      <c r="B188" s="21"/>
      <c r="C188" s="21"/>
      <c r="D188" s="21"/>
      <c r="E188" s="21"/>
      <c r="F188" s="21"/>
      <c r="G188" s="21"/>
      <c r="H188" s="22"/>
      <c r="I188" s="22"/>
      <c r="J188" s="22"/>
      <c r="K188" s="22"/>
      <c r="L188" s="22"/>
      <c r="M188" s="21"/>
      <c r="N188" s="22"/>
      <c r="O188" s="22"/>
      <c r="P188" s="22"/>
      <c r="Q188" s="22"/>
      <c r="R188" s="22"/>
      <c r="S188" s="22"/>
      <c r="T188" s="22"/>
      <c r="U188" s="22"/>
      <c r="V188" s="21"/>
      <c r="W188" s="21"/>
      <c r="X188" s="21"/>
      <c r="Y188" s="21"/>
      <c r="Z188" s="22"/>
      <c r="AA188" s="22"/>
      <c r="AB188" s="22"/>
      <c r="AC188" s="22"/>
      <c r="AD188" s="22"/>
      <c r="AE188" s="22"/>
      <c r="AF188" s="22"/>
      <c r="AG188" s="22"/>
      <c r="AH188" s="22"/>
      <c r="AI188" s="22"/>
      <c r="AJ188" s="23"/>
      <c r="BZ188" s="126">
        <v>0</v>
      </c>
      <c r="CA188" s="126">
        <v>0</v>
      </c>
      <c r="CB188" s="126">
        <v>0</v>
      </c>
      <c r="CC188" s="126">
        <v>0</v>
      </c>
      <c r="CD188" s="126">
        <v>0</v>
      </c>
      <c r="CE188" s="126">
        <v>0</v>
      </c>
      <c r="CF188" s="126">
        <v>0</v>
      </c>
      <c r="CG188" s="126">
        <v>0</v>
      </c>
      <c r="CH188" s="126">
        <v>0</v>
      </c>
      <c r="CI188" s="126" t="e">
        <f>#REF!</f>
        <v>#REF!</v>
      </c>
    </row>
    <row r="189" spans="1:87" ht="18" customHeight="1" x14ac:dyDescent="0.2">
      <c r="A189" s="24"/>
      <c r="B189" s="21"/>
      <c r="C189" s="21"/>
      <c r="D189" s="21"/>
      <c r="E189" s="21"/>
      <c r="F189" s="21"/>
      <c r="G189" s="21"/>
      <c r="H189" s="22"/>
      <c r="I189" s="22"/>
      <c r="J189" s="22"/>
      <c r="K189" s="22"/>
      <c r="L189" s="22"/>
      <c r="M189" s="21"/>
      <c r="N189" s="22"/>
      <c r="O189" s="22"/>
      <c r="P189" s="22"/>
      <c r="Q189" s="22"/>
      <c r="R189" s="22"/>
      <c r="S189" s="22"/>
      <c r="T189" s="22"/>
      <c r="U189" s="22"/>
      <c r="V189" s="21"/>
      <c r="W189" s="21"/>
      <c r="X189" s="21"/>
      <c r="Y189" s="21"/>
      <c r="Z189" s="22"/>
      <c r="AA189" s="22"/>
      <c r="AB189" s="22"/>
      <c r="AC189" s="22"/>
      <c r="AD189" s="22"/>
      <c r="AE189" s="22"/>
      <c r="AF189" s="22"/>
      <c r="AG189" s="22"/>
      <c r="AH189" s="22"/>
      <c r="AI189" s="22"/>
      <c r="AJ189" s="23"/>
      <c r="BZ189" s="126">
        <v>0</v>
      </c>
      <c r="CA189" s="126">
        <v>0</v>
      </c>
      <c r="CB189" s="126">
        <v>0</v>
      </c>
      <c r="CC189" s="126">
        <v>0</v>
      </c>
      <c r="CD189" s="126">
        <v>0</v>
      </c>
      <c r="CE189" s="126">
        <v>0</v>
      </c>
      <c r="CF189" s="126">
        <v>0</v>
      </c>
      <c r="CG189" s="126">
        <v>0</v>
      </c>
      <c r="CH189" s="126">
        <v>0</v>
      </c>
      <c r="CI189" s="126" t="e">
        <f>#REF!</f>
        <v>#REF!</v>
      </c>
    </row>
    <row r="190" spans="1:87" ht="18" customHeight="1" x14ac:dyDescent="0.2">
      <c r="A190" s="24"/>
      <c r="B190" s="21"/>
      <c r="C190" s="21"/>
      <c r="D190" s="21"/>
      <c r="E190" s="21"/>
      <c r="F190" s="21"/>
      <c r="G190" s="21"/>
      <c r="H190" s="22"/>
      <c r="I190" s="22"/>
      <c r="J190" s="22"/>
      <c r="K190" s="22"/>
      <c r="L190" s="22"/>
      <c r="M190" s="21"/>
      <c r="N190" s="22"/>
      <c r="O190" s="22"/>
      <c r="P190" s="22"/>
      <c r="Q190" s="22"/>
      <c r="R190" s="22"/>
      <c r="S190" s="22"/>
      <c r="T190" s="22"/>
      <c r="U190" s="22"/>
      <c r="V190" s="21"/>
      <c r="W190" s="21"/>
      <c r="X190" s="21"/>
      <c r="Y190" s="21"/>
      <c r="Z190" s="22"/>
      <c r="AA190" s="22"/>
      <c r="AB190" s="22"/>
      <c r="AC190" s="22"/>
      <c r="AD190" s="22"/>
      <c r="AE190" s="22"/>
      <c r="AF190" s="22"/>
      <c r="AG190" s="22"/>
      <c r="AH190" s="22"/>
      <c r="AI190" s="22"/>
      <c r="AJ190" s="23"/>
      <c r="BZ190" s="126">
        <v>0</v>
      </c>
      <c r="CA190" s="126">
        <v>0</v>
      </c>
      <c r="CB190" s="126">
        <v>0</v>
      </c>
      <c r="CC190" s="126">
        <v>0</v>
      </c>
      <c r="CD190" s="126">
        <v>0</v>
      </c>
      <c r="CE190" s="126">
        <v>0</v>
      </c>
      <c r="CF190" s="126">
        <v>0</v>
      </c>
      <c r="CG190" s="126">
        <v>0</v>
      </c>
      <c r="CH190" s="126">
        <v>0</v>
      </c>
      <c r="CI190" s="126" t="e">
        <f>#REF!</f>
        <v>#REF!</v>
      </c>
    </row>
    <row r="191" spans="1:87" ht="18" customHeight="1" x14ac:dyDescent="0.2">
      <c r="A191" s="24"/>
      <c r="B191" s="21"/>
      <c r="C191" s="21"/>
      <c r="D191" s="21"/>
      <c r="E191" s="21"/>
      <c r="F191" s="21"/>
      <c r="G191" s="21"/>
      <c r="H191" s="22"/>
      <c r="I191" s="22"/>
      <c r="J191" s="22"/>
      <c r="K191" s="22"/>
      <c r="L191" s="22"/>
      <c r="M191" s="21"/>
      <c r="N191" s="22"/>
      <c r="O191" s="22"/>
      <c r="P191" s="22"/>
      <c r="Q191" s="22"/>
      <c r="R191" s="22"/>
      <c r="S191" s="22"/>
      <c r="T191" s="22"/>
      <c r="U191" s="22"/>
      <c r="V191" s="21"/>
      <c r="W191" s="21"/>
      <c r="X191" s="21"/>
      <c r="Y191" s="21"/>
      <c r="Z191" s="22"/>
      <c r="AA191" s="22"/>
      <c r="AB191" s="22"/>
      <c r="AC191" s="22"/>
      <c r="AD191" s="22"/>
      <c r="AE191" s="22"/>
      <c r="AF191" s="22"/>
      <c r="AG191" s="22"/>
      <c r="AH191" s="22"/>
      <c r="AI191" s="22"/>
      <c r="AJ191" s="23"/>
      <c r="BZ191" s="126">
        <v>0</v>
      </c>
      <c r="CA191" s="126">
        <v>0</v>
      </c>
      <c r="CB191" s="126">
        <v>0</v>
      </c>
      <c r="CC191" s="126">
        <v>0</v>
      </c>
      <c r="CD191" s="126">
        <v>0</v>
      </c>
      <c r="CE191" s="126">
        <v>0</v>
      </c>
      <c r="CF191" s="126">
        <v>0</v>
      </c>
      <c r="CG191" s="126">
        <v>0</v>
      </c>
      <c r="CH191" s="126">
        <v>0</v>
      </c>
      <c r="CI191" s="126" t="e">
        <f>#REF!</f>
        <v>#REF!</v>
      </c>
    </row>
    <row r="192" spans="1:87" ht="9.9" hidden="1" customHeight="1" x14ac:dyDescent="0.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BZ192" s="126" t="s">
        <v>72</v>
      </c>
      <c r="CA192" s="126" t="s">
        <v>47</v>
      </c>
      <c r="CB192" s="126">
        <v>0</v>
      </c>
      <c r="CC192" s="126">
        <v>0</v>
      </c>
      <c r="CD192" s="126">
        <v>0</v>
      </c>
      <c r="CE192" s="126">
        <v>0</v>
      </c>
      <c r="CF192" s="126">
        <v>0</v>
      </c>
      <c r="CG192" s="126">
        <v>0</v>
      </c>
      <c r="CH192" s="126">
        <v>0</v>
      </c>
      <c r="CI192" s="126" t="e">
        <f>#REF!</f>
        <v>#REF!</v>
      </c>
    </row>
    <row r="193" spans="1:87" ht="18" hidden="1" customHeight="1" x14ac:dyDescent="0.2">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BZ193" s="126" t="s">
        <v>72</v>
      </c>
      <c r="CA193" s="126" t="s">
        <v>47</v>
      </c>
      <c r="CB193" s="126">
        <v>0</v>
      </c>
      <c r="CC193" s="126">
        <v>0</v>
      </c>
      <c r="CD193" s="126">
        <v>0</v>
      </c>
      <c r="CE193" s="126">
        <v>0</v>
      </c>
      <c r="CF193" s="126">
        <v>0</v>
      </c>
      <c r="CG193" s="126">
        <v>0</v>
      </c>
      <c r="CH193" s="126">
        <v>0</v>
      </c>
      <c r="CI193" s="126" t="e">
        <f>#REF!</f>
        <v>#REF!</v>
      </c>
    </row>
    <row r="194" spans="1:87" x14ac:dyDescent="0.2">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BZ194" s="126">
        <v>0</v>
      </c>
      <c r="CA194" s="126">
        <v>0</v>
      </c>
      <c r="CB194" s="126">
        <v>0</v>
      </c>
      <c r="CC194" s="126">
        <v>0</v>
      </c>
      <c r="CD194" s="126">
        <v>0</v>
      </c>
      <c r="CE194" s="126">
        <v>0</v>
      </c>
      <c r="CF194" s="126">
        <v>0</v>
      </c>
      <c r="CG194" s="126">
        <v>0</v>
      </c>
      <c r="CH194" s="126">
        <v>0</v>
      </c>
      <c r="CI194" s="126" t="e">
        <f>#REF!</f>
        <v>#REF!</v>
      </c>
    </row>
    <row r="195" spans="1:87" x14ac:dyDescent="0.2">
      <c r="BZ195" s="126">
        <v>0</v>
      </c>
      <c r="CA195" s="126">
        <v>0</v>
      </c>
      <c r="CB195" s="126">
        <v>0</v>
      </c>
      <c r="CC195" s="126">
        <v>0</v>
      </c>
      <c r="CD195" s="126">
        <v>0</v>
      </c>
      <c r="CE195" s="126">
        <v>0</v>
      </c>
      <c r="CF195" s="126">
        <v>0</v>
      </c>
      <c r="CG195" s="126">
        <v>0</v>
      </c>
      <c r="CH195" s="126">
        <v>0</v>
      </c>
      <c r="CI195" s="126" t="e">
        <f>#REF!</f>
        <v>#REF!</v>
      </c>
    </row>
    <row r="196" spans="1:87" x14ac:dyDescent="0.2">
      <c r="BZ196" s="126">
        <v>0</v>
      </c>
      <c r="CA196" s="126">
        <v>0</v>
      </c>
      <c r="CB196" s="126">
        <v>0</v>
      </c>
      <c r="CC196" s="126">
        <v>0</v>
      </c>
      <c r="CD196" s="126">
        <v>0</v>
      </c>
      <c r="CE196" s="126">
        <v>0</v>
      </c>
      <c r="CF196" s="126">
        <v>0</v>
      </c>
      <c r="CG196" s="126">
        <v>0</v>
      </c>
      <c r="CH196" s="126">
        <v>0</v>
      </c>
      <c r="CI196" s="126" t="e">
        <f>#REF!</f>
        <v>#REF!</v>
      </c>
    </row>
  </sheetData>
  <sheetProtection algorithmName="SHA-512" hashValue="c5IsM6vIiL90jOPgfglAbkjOraSWTukwc1eyGez/v/dBqVjZCPoxghQACzP5WAOcls87exWScOvHSSkpt+K8Vw==" saltValue="MN9qchp08mZ+Wi08UKCs3A==" spinCount="100000" sheet="1" selectLockedCells="1"/>
  <autoFilter ref="CA1:CA196" xr:uid="{00000000-0001-0000-0400-000000000000}">
    <filterColumn colId="0">
      <filters blank="1">
        <filter val="なし"/>
      </filters>
    </filterColumn>
  </autoFilter>
  <mergeCells count="214">
    <mergeCell ref="B135:AJ135"/>
    <mergeCell ref="B149:AJ149"/>
    <mergeCell ref="B136:AJ136"/>
    <mergeCell ref="B137:AJ137"/>
    <mergeCell ref="B138:AJ138"/>
    <mergeCell ref="B139:AJ139"/>
    <mergeCell ref="B140:AJ140"/>
    <mergeCell ref="B141:AJ141"/>
    <mergeCell ref="B142:AJ142"/>
    <mergeCell ref="B143:AJ143"/>
    <mergeCell ref="B144:AJ144"/>
    <mergeCell ref="B145:AJ145"/>
    <mergeCell ref="B146:AJ146"/>
    <mergeCell ref="B148:AJ148"/>
    <mergeCell ref="B147:AJ147"/>
    <mergeCell ref="A11:AK11"/>
    <mergeCell ref="A12:AK12"/>
    <mergeCell ref="A13:C18"/>
    <mergeCell ref="H13:AJ13"/>
    <mergeCell ref="I14:L14"/>
    <mergeCell ref="H15:AJ15"/>
    <mergeCell ref="H16:AJ16"/>
    <mergeCell ref="H17:AJ17"/>
    <mergeCell ref="H18:W18"/>
    <mergeCell ref="M14:AJ14"/>
    <mergeCell ref="Y18:AJ18"/>
    <mergeCell ref="AB1:AE1"/>
    <mergeCell ref="AF1:AJ1"/>
    <mergeCell ref="AB2:AE2"/>
    <mergeCell ref="AF2:AJ2"/>
    <mergeCell ref="A4:AJ5"/>
    <mergeCell ref="A7:AC8"/>
    <mergeCell ref="AE7:AJ7"/>
    <mergeCell ref="AE8:AJ10"/>
    <mergeCell ref="A10:G10"/>
    <mergeCell ref="H10:Q10"/>
    <mergeCell ref="A9:Q9"/>
    <mergeCell ref="B99:P99"/>
    <mergeCell ref="Q99:T99"/>
    <mergeCell ref="V99:Y99"/>
    <mergeCell ref="Z99:AB99"/>
    <mergeCell ref="AC99:AD99"/>
    <mergeCell ref="AE99:AH99"/>
    <mergeCell ref="AI99:AK99"/>
    <mergeCell ref="A20:AK20"/>
    <mergeCell ref="A95:AK95"/>
    <mergeCell ref="A97:G97"/>
    <mergeCell ref="B98:P98"/>
    <mergeCell ref="Q98:Y98"/>
    <mergeCell ref="Z98:AB98"/>
    <mergeCell ref="AC98:AD98"/>
    <mergeCell ref="AE98:AH98"/>
    <mergeCell ref="K35:AJ35"/>
    <mergeCell ref="A92:G93"/>
    <mergeCell ref="K93:AJ93"/>
    <mergeCell ref="A21:G90"/>
    <mergeCell ref="H97:Y97"/>
    <mergeCell ref="Z97:AD97"/>
    <mergeCell ref="AE97:AK97"/>
    <mergeCell ref="AI98:AK98"/>
    <mergeCell ref="AI100:AK100"/>
    <mergeCell ref="B101:P101"/>
    <mergeCell ref="Q101:T101"/>
    <mergeCell ref="V101:Y101"/>
    <mergeCell ref="Z101:AB101"/>
    <mergeCell ref="AC101:AD101"/>
    <mergeCell ref="AE101:AH101"/>
    <mergeCell ref="AI101:AK101"/>
    <mergeCell ref="B100:P100"/>
    <mergeCell ref="Q100:T100"/>
    <mergeCell ref="V100:Y100"/>
    <mergeCell ref="Z100:AB100"/>
    <mergeCell ref="AC100:AD100"/>
    <mergeCell ref="AE100:AH100"/>
    <mergeCell ref="AI102:AK102"/>
    <mergeCell ref="B103:P103"/>
    <mergeCell ref="Q103:T103"/>
    <mergeCell ref="V103:Y103"/>
    <mergeCell ref="Z103:AB103"/>
    <mergeCell ref="AC103:AD103"/>
    <mergeCell ref="AE103:AH103"/>
    <mergeCell ref="AI103:AK103"/>
    <mergeCell ref="B102:P102"/>
    <mergeCell ref="Q102:T102"/>
    <mergeCell ref="V102:Y102"/>
    <mergeCell ref="Z102:AB102"/>
    <mergeCell ref="AC102:AD102"/>
    <mergeCell ref="AE102:AH102"/>
    <mergeCell ref="B105:P105"/>
    <mergeCell ref="Q105:AD105"/>
    <mergeCell ref="AE105:AH105"/>
    <mergeCell ref="AI105:AK105"/>
    <mergeCell ref="B109:P109"/>
    <mergeCell ref="Q109:Y109"/>
    <mergeCell ref="Z109:AB109"/>
    <mergeCell ref="AC109:AD109"/>
    <mergeCell ref="AE109:AH109"/>
    <mergeCell ref="AI109:AK109"/>
    <mergeCell ref="B106:Y106"/>
    <mergeCell ref="Q107:AJ107"/>
    <mergeCell ref="AI110:AK110"/>
    <mergeCell ref="B111:P111"/>
    <mergeCell ref="Q111:T111"/>
    <mergeCell ref="V111:Y111"/>
    <mergeCell ref="Z111:AB111"/>
    <mergeCell ref="AC111:AD111"/>
    <mergeCell ref="AE111:AH111"/>
    <mergeCell ref="AI111:AK111"/>
    <mergeCell ref="B110:P110"/>
    <mergeCell ref="Q110:T110"/>
    <mergeCell ref="V110:Y110"/>
    <mergeCell ref="Z110:AB110"/>
    <mergeCell ref="AC110:AD110"/>
    <mergeCell ref="AE110:AH110"/>
    <mergeCell ref="AI112:AK112"/>
    <mergeCell ref="AI113:AK113"/>
    <mergeCell ref="B114:P114"/>
    <mergeCell ref="Q114:AD114"/>
    <mergeCell ref="AE114:AH114"/>
    <mergeCell ref="AI114:AK114"/>
    <mergeCell ref="B112:P112"/>
    <mergeCell ref="Q112:T112"/>
    <mergeCell ref="V112:Y112"/>
    <mergeCell ref="Z112:AB112"/>
    <mergeCell ref="AC112:AD112"/>
    <mergeCell ref="AE112:AH112"/>
    <mergeCell ref="B118:P118"/>
    <mergeCell ref="Q118:Y118"/>
    <mergeCell ref="Z118:AB118"/>
    <mergeCell ref="AC118:AD118"/>
    <mergeCell ref="AE118:AH118"/>
    <mergeCell ref="AI118:AK118"/>
    <mergeCell ref="B115:P115"/>
    <mergeCell ref="Q115:AD115"/>
    <mergeCell ref="AE115:AH115"/>
    <mergeCell ref="AI115:AK115"/>
    <mergeCell ref="B116:P116"/>
    <mergeCell ref="Q116:AD116"/>
    <mergeCell ref="AE116:AH116"/>
    <mergeCell ref="AI116:AK116"/>
    <mergeCell ref="AI119:AK119"/>
    <mergeCell ref="B120:P120"/>
    <mergeCell ref="Q120:T120"/>
    <mergeCell ref="V120:Y120"/>
    <mergeCell ref="Z120:AB120"/>
    <mergeCell ref="AC120:AD120"/>
    <mergeCell ref="AE120:AH120"/>
    <mergeCell ref="AI120:AK120"/>
    <mergeCell ref="B119:P119"/>
    <mergeCell ref="Q119:T119"/>
    <mergeCell ref="V119:Y119"/>
    <mergeCell ref="Z119:AB119"/>
    <mergeCell ref="AC119:AD119"/>
    <mergeCell ref="AE119:AH119"/>
    <mergeCell ref="AI121:AK121"/>
    <mergeCell ref="B123:P123"/>
    <mergeCell ref="Q123:AD123"/>
    <mergeCell ref="AE123:AH123"/>
    <mergeCell ref="AI123:AK123"/>
    <mergeCell ref="B124:P124"/>
    <mergeCell ref="Q124:AD124"/>
    <mergeCell ref="AE124:AH124"/>
    <mergeCell ref="AI124:AK124"/>
    <mergeCell ref="B121:P121"/>
    <mergeCell ref="Q121:T121"/>
    <mergeCell ref="V121:Y121"/>
    <mergeCell ref="Z121:AB121"/>
    <mergeCell ref="AC121:AD121"/>
    <mergeCell ref="AE121:AH121"/>
    <mergeCell ref="B125:P125"/>
    <mergeCell ref="Q125:AD125"/>
    <mergeCell ref="AE125:AH125"/>
    <mergeCell ref="AI125:AK125"/>
    <mergeCell ref="B127:P127"/>
    <mergeCell ref="Q127:Y127"/>
    <mergeCell ref="Z127:AB127"/>
    <mergeCell ref="AC127:AH127"/>
    <mergeCell ref="AI127:AK127"/>
    <mergeCell ref="B129:P129"/>
    <mergeCell ref="Q129:T129"/>
    <mergeCell ref="V129:Y129"/>
    <mergeCell ref="Z129:AB129"/>
    <mergeCell ref="AC129:AH129"/>
    <mergeCell ref="AI129:AK129"/>
    <mergeCell ref="B128:P128"/>
    <mergeCell ref="Q128:T128"/>
    <mergeCell ref="V128:Y128"/>
    <mergeCell ref="Z128:AB128"/>
    <mergeCell ref="AC128:AH128"/>
    <mergeCell ref="AI128:AK128"/>
    <mergeCell ref="A134:AK134"/>
    <mergeCell ref="A152:AK152"/>
    <mergeCell ref="AJ165:AK165"/>
    <mergeCell ref="A168:AD172"/>
    <mergeCell ref="B131:P131"/>
    <mergeCell ref="Q131:AD131"/>
    <mergeCell ref="AE131:AH131"/>
    <mergeCell ref="AI131:AK131"/>
    <mergeCell ref="B132:P132"/>
    <mergeCell ref="Q132:AD132"/>
    <mergeCell ref="AE132:AH132"/>
    <mergeCell ref="AI132:AK132"/>
    <mergeCell ref="B153:AJ153"/>
    <mergeCell ref="B154:AJ154"/>
    <mergeCell ref="B155:AJ155"/>
    <mergeCell ref="B156:AJ156"/>
    <mergeCell ref="B157:AJ157"/>
    <mergeCell ref="B158:AJ158"/>
    <mergeCell ref="B159:AJ159"/>
    <mergeCell ref="B160:AJ160"/>
    <mergeCell ref="B164:AJ164"/>
    <mergeCell ref="B161:AJ161"/>
    <mergeCell ref="B162:AJ162"/>
    <mergeCell ref="B163:AJ163"/>
  </mergeCells>
  <phoneticPr fontId="14"/>
  <conditionalFormatting sqref="A105:AD105">
    <cfRule type="expression" dxfId="2" priority="1">
      <formula>IF(A105="",1,0)</formula>
    </cfRule>
  </conditionalFormatting>
  <conditionalFormatting sqref="Z99:AB103">
    <cfRule type="expression" dxfId="1" priority="3">
      <formula>IF(Z99=0,1,0)</formula>
    </cfRule>
  </conditionalFormatting>
  <conditionalFormatting sqref="AE97">
    <cfRule type="expression" dxfId="0" priority="2">
      <formula>IF($Z$97="AWS Payer ID",1,0)</formula>
    </cfRule>
  </conditionalFormatting>
  <dataValidations count="3">
    <dataValidation allowBlank="1" showInputMessage="1" sqref="B99:P104" xr:uid="{1A182BC9-F1EC-40D6-B813-8180F4472404}"/>
    <dataValidation type="list" allowBlank="1" showInputMessage="1" showErrorMessage="1" sqref="I92 I22 I28 I34 I36 I44 I26 I30 I38 I46 I76 I24 I40 I42 I32 I48 I50 I68 I64 I60 I62 I58 I70 I52 I74 I66 I56 I54 I72 I88 I84 I82 I86 I80 I78" xr:uid="{AA1EF41D-1A93-4ADE-A3FE-B544E06E1E90}">
      <formula1>"□,■"</formula1>
    </dataValidation>
    <dataValidation type="date" operator="greaterThanOrEqual" allowBlank="1" showInputMessage="1" showErrorMessage="1" sqref="H10" xr:uid="{E9C21746-41FC-452E-A1FF-579581569436}">
      <formula1>43344</formula1>
    </dataValidation>
  </dataValidations>
  <hyperlinks>
    <hyperlink ref="V26" r:id="rId1" display="https://www.atlassian.com/legal/customer-agreement" xr:uid="{9FF15966-F22F-473C-A213-D3A14DEA883D}"/>
    <hyperlink ref="K23" r:id="rId2" xr:uid="{36567148-0655-47F3-9E98-3395F9DD50E3}"/>
    <hyperlink ref="K27" r:id="rId3" location="intro" xr:uid="{0986E7AC-B120-4F11-8850-6DDEB6FEE4ED}"/>
    <hyperlink ref="K25" r:id="rId4" xr:uid="{A1967936-888F-4234-BB16-455BD62A396F}"/>
    <hyperlink ref="K31" r:id="rId5" xr:uid="{1F942D6F-93F0-47A4-9545-440626DDA50C}"/>
    <hyperlink ref="K33" r:id="rId6" xr:uid="{9B9B240C-49F7-48E6-BF19-536A728C5202}"/>
    <hyperlink ref="K41" r:id="rId7" xr:uid="{AF417BF9-3ADB-4B97-80B6-F35A165B247A}"/>
    <hyperlink ref="K49" r:id="rId8" xr:uid="{DFE8A3C8-CAFA-47F8-9224-4F98EBD61EF6}"/>
    <hyperlink ref="K37" r:id="rId9" xr:uid="{46760F8F-F221-4F25-ACA9-F571DB43FB5D}"/>
    <hyperlink ref="K55" r:id="rId10" xr:uid="{9E2F792F-9273-400C-9DE0-E83D0EEB5C08}"/>
    <hyperlink ref="K71" r:id="rId11" xr:uid="{0AD9AEDD-7CFA-4005-B944-A0688D7C88BE}"/>
    <hyperlink ref="K77" r:id="rId12" xr:uid="{00BE19BC-68F8-4518-BA7B-CE22CAE8E888}"/>
    <hyperlink ref="K47" r:id="rId13" xr:uid="{542B3128-A255-4E8D-9BD5-83B0930FB6E1}"/>
    <hyperlink ref="K81" r:id="rId14" xr:uid="{9B9612A0-9C60-4354-9F1A-7035D6150069}"/>
    <hyperlink ref="K79" r:id="rId15" xr:uid="{6784BFDF-D58E-411E-B744-2BD193394854}"/>
  </hyperlinks>
  <printOptions horizontalCentered="1"/>
  <pageMargins left="0.59055118110236227" right="0.39370078740157483" top="0.59055118110236227" bottom="0.39370078740157483" header="0.31496062992125984" footer="0.15748031496062992"/>
  <pageSetup paperSize="9" scale="72" fitToHeight="0" orientation="portrait" r:id="rId16"/>
  <headerFooter>
    <oddFooter>&amp;C&amp;G&amp;RAS-A01-2.5.4</oddFooter>
  </headerFooter>
  <legacyDrawing r:id="rId17"/>
  <legacyDrawingHF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改定履歴</vt:lpstr>
      <vt:lpstr>申込書</vt:lpstr>
      <vt:lpstr>申込書!Print_Area</vt:lpstr>
    </vt:vector>
  </TitlesOfParts>
  <Company>NRI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NRI</dc:creator>
  <cp:lastModifiedBy>葛島洋子＊</cp:lastModifiedBy>
  <cp:lastPrinted>2025-07-16T06:35:22Z</cp:lastPrinted>
  <dcterms:created xsi:type="dcterms:W3CDTF">2012-01-18T02:25:42Z</dcterms:created>
  <dcterms:modified xsi:type="dcterms:W3CDTF">2025-12-24T03:19:37Z</dcterms:modified>
</cp:coreProperties>
</file>